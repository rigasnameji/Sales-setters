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0 Units (Arizona).phone-enri" sheetId="1" r:id="rId5"/>
  </sheets>
  <definedNames>
    <definedName hidden="1" localSheetId="0" name="_xlnm._FilterDatabase">'1-20 Units (Arizona).phone-enri'!$A$1:$BL$108</definedName>
  </definedNames>
  <calcPr/>
</workbook>
</file>

<file path=xl/sharedStrings.xml><?xml version="1.0" encoding="utf-8"?>
<sst xmlns="http://schemas.openxmlformats.org/spreadsheetml/2006/main" count="1943" uniqueCount="589">
  <si>
    <t>Property Manager/Host</t>
  </si>
  <si>
    <t>Contact</t>
  </si>
  <si>
    <t>Revenue</t>
  </si>
  <si>
    <t>Revenue Potential</t>
  </si>
  <si>
    <t>ADR</t>
  </si>
  <si>
    <t>Occupancy</t>
  </si>
  <si>
    <t>Days Available</t>
  </si>
  <si>
    <t>Bedrooms</t>
  </si>
  <si>
    <t>Bathrooms</t>
  </si>
  <si>
    <t>Accommodates</t>
  </si>
  <si>
    <t>Has Air Conditioning</t>
  </si>
  <si>
    <t>Has Gym</t>
  </si>
  <si>
    <t>Has Hot Tub</t>
  </si>
  <si>
    <t>Has Kitchen</t>
  </si>
  <si>
    <t>Has Parking</t>
  </si>
  <si>
    <t>Has Pets</t>
  </si>
  <si>
    <t>Has Pool</t>
  </si>
  <si>
    <t>Listing Type</t>
  </si>
  <si>
    <t>Property Type</t>
  </si>
  <si>
    <t>Real Estate Type</t>
  </si>
  <si>
    <t>Overall Rating</t>
  </si>
  <si>
    <t>Number of Reviews</t>
  </si>
  <si>
    <t>Minimum Stay</t>
  </si>
  <si>
    <t>Host Unit Count</t>
  </si>
  <si>
    <t>Price Tier</t>
  </si>
  <si>
    <t>Airbnb Superhost</t>
  </si>
  <si>
    <t>Cleaning Fee</t>
  </si>
  <si>
    <t>Instant Book</t>
  </si>
  <si>
    <t>Reserved Days</t>
  </si>
  <si>
    <t>Number of Bookings</t>
  </si>
  <si>
    <t>Last Update</t>
  </si>
  <si>
    <t>AirDNA Market</t>
  </si>
  <si>
    <t>AirDNA Subarket</t>
  </si>
  <si>
    <t>City</t>
  </si>
  <si>
    <t>State</t>
  </si>
  <si>
    <t>Zipcode</t>
  </si>
  <si>
    <t>Country</t>
  </si>
  <si>
    <t>Location Type</t>
  </si>
  <si>
    <t>Main Listing Image</t>
  </si>
  <si>
    <t>Airbnb Property ID</t>
  </si>
  <si>
    <t>Vrbo Property ID</t>
  </si>
  <si>
    <t>Latitude</t>
  </si>
  <si>
    <t>Longitude</t>
  </si>
  <si>
    <t>Market Average Occupancy</t>
  </si>
  <si>
    <t>Market Average Revenue</t>
  </si>
  <si>
    <t>Occupancy Gap</t>
  </si>
  <si>
    <t>Revenue % Gap</t>
  </si>
  <si>
    <t>Revenue $ Gap</t>
  </si>
  <si>
    <t>Revenue Potential Gap</t>
  </si>
  <si>
    <t>Property ID</t>
  </si>
  <si>
    <t>Property name</t>
  </si>
  <si>
    <t>Listing URL</t>
  </si>
  <si>
    <t>Title</t>
  </si>
  <si>
    <t>Phone</t>
  </si>
  <si>
    <t>Phone source</t>
  </si>
  <si>
    <t>Phone confidence</t>
  </si>
  <si>
    <t>Phone evidence</t>
  </si>
  <si>
    <t>Phone belongs to</t>
  </si>
  <si>
    <t>Website</t>
  </si>
  <si>
    <t>Email</t>
  </si>
  <si>
    <t>Social media link</t>
  </si>
  <si>
    <t>Social media type</t>
  </si>
  <si>
    <t>LVRstays</t>
  </si>
  <si>
    <t>Home/Apartment</t>
  </si>
  <si>
    <t>House</t>
  </si>
  <si>
    <t>House/villa</t>
  </si>
  <si>
    <t>Luxury</t>
  </si>
  <si>
    <t>Phoenix/Scottsdale</t>
  </si>
  <si>
    <t>Paradise Valley</t>
  </si>
  <si>
    <t>Scottsdale</t>
  </si>
  <si>
    <t>Arizona</t>
  </si>
  <si>
    <t>United States</t>
  </si>
  <si>
    <t>suburban</t>
  </si>
  <si>
    <t>https://media.vrbo.com/lodging/123000000/122060000/122059600/122059518/4606e402.jpg?impolicy=resizecrop&amp;rw=1200&amp;ra=fit</t>
  </si>
  <si>
    <t>Blue Cove Mansion</t>
  </si>
  <si>
    <t>https://www.vrbo.com/4912289</t>
  </si>
  <si>
    <t>The Blue Cove Oasis | 8 Bedroom 7 Bathroom 17+Beds</t>
  </si>
  <si>
    <t>+14804446930</t>
  </si>
  <si>
    <t>https://lvrstays.com/</t>
  </si>
  <si>
    <t>Medium</t>
  </si>
  <si>
    <t>Exact title match tied Blue Cove to LVRstays, and the official LVRstays site lists Blue Cove Mansion with this phone.</t>
  </si>
  <si>
    <t>manager</t>
  </si>
  <si>
    <t>alex@lvrstays.com</t>
  </si>
  <si>
    <t>Villa</t>
  </si>
  <si>
    <t>https://a0.muscache.com/im/pictures/hosting/Hosting-16450639/original/daf45076-468e-4ec8-96dc-ceee006c7ecf.jpeg</t>
  </si>
  <si>
    <t>Cactus Stone</t>
  </si>
  <si>
    <t>https://www.airbnb.com/rooms/16450639</t>
  </si>
  <si>
    <t>The Cactus Stone | 9 Bedroom 6.5 Bathroom 16+ Beds</t>
  </si>
  <si>
    <t>https://lvrstays.com/; https://www.airbnb.com/rooms/16450639</t>
  </si>
  <si>
    <t>The Airbnb listing identifies the host's work as LVRstays, and the official LVRstays site lists Cactus Stone with this phone.</t>
  </si>
  <si>
    <t>https://a0.muscache.com/im/pictures/hosting/Hosting-37568848/original/bcd77b04-851c-41bd-8805-8efffed7d205.jpeg</t>
  </si>
  <si>
    <t>7951383ha</t>
  </si>
  <si>
    <t>https://www.airbnb.com/rooms/37568848</t>
  </si>
  <si>
    <t>https://a0.muscache.com/im/pictures/prohost-api/Hosting-1496405343001968622/original/bb2e8c98-4f6f-49d4-afe7-0cfb23b88e0a.jpeg</t>
  </si>
  <si>
    <t>1496405343001968622</t>
  </si>
  <si>
    <t>Lincoln Villa</t>
  </si>
  <si>
    <t>https://www.airbnb.com/rooms/1496405343001968622</t>
  </si>
  <si>
    <t>Lincoln Villa | 7 Bedroom 5.5 Bath 12+ Beds</t>
  </si>
  <si>
    <t>https://lvrstays.com/; https://lvrstays.com/book-now/</t>
  </si>
  <si>
    <t>Exact property match tied Lincoln Villa to LVRstays, and the official LVRstays site lists this phone.</t>
  </si>
  <si>
    <t>https://lvrstays.com/book-now/</t>
  </si>
  <si>
    <t>HÓZHÓ Scottsdale</t>
  </si>
  <si>
    <t>Cave Creek</t>
  </si>
  <si>
    <t>https://media.vrbo.com/lodging/92000000/91860000/91859900/91859830/3ccd6cb2.jpg?impolicy=resizecrop&amp;rw=1200&amp;ra=fit</t>
  </si>
  <si>
    <t>https://www.vrbo.com/3293302</t>
  </si>
  <si>
    <t>HÓZHÓ Resort: Private Luxe Estates in Sanctuary</t>
  </si>
  <si>
    <t>+14805040883</t>
  </si>
  <si>
    <t>https://stayhozho.com/</t>
  </si>
  <si>
    <t>Exact brand match to HÓZHÓ Scottsdale and the official HÓZHÓ site lists this phone.</t>
  </si>
  <si>
    <t>GoodNight Stay</t>
  </si>
  <si>
    <t>https://media.vrbo.com/lodging/119000000/118890000/118885700/118885611/e8391b1e.jpg?impolicy=resizecrop&amp;rw=1200&amp;ra=fit</t>
  </si>
  <si>
    <t>Paradise Canyon Retreat</t>
  </si>
  <si>
    <t>https://www.vrbo.com/4704009</t>
  </si>
  <si>
    <t>The Private Paradise Valley Luxe Estate- Casita, Heated Pool, Hot Tub, Views</t>
  </si>
  <si>
    <t>+14805626226</t>
  </si>
  <si>
    <t>https://goodnightstay.com/; https://goodnightstay.com/contact-us/</t>
  </si>
  <si>
    <t>Listing is managed by GoodNight Stay and the official GoodNight Stay contact page lists this phone.</t>
  </si>
  <si>
    <t>https://goodnightstay.com/</t>
  </si>
  <si>
    <t>White Whale Properties</t>
  </si>
  <si>
    <t>Cabin</t>
  </si>
  <si>
    <t>Pinetop-Lakeside</t>
  </si>
  <si>
    <t>Show Low</t>
  </si>
  <si>
    <t>Pinedale</t>
  </si>
  <si>
    <t>mountains_lakes</t>
  </si>
  <si>
    <t>https://a0.muscache.com/im/pictures/hosting/Hosting-1426375609331601752/original/b0a93305-7a55-4de9-bd3f-b0cbd4786228.jpeg</t>
  </si>
  <si>
    <t>1426375609331601752</t>
  </si>
  <si>
    <t>Rock Creek Ranch</t>
  </si>
  <si>
    <t>https://www.airbnb.com/rooms/1426375609331601752</t>
  </si>
  <si>
    <t>+14807731855</t>
  </si>
  <si>
    <t>https://travelwhitewhale.com/events/; https://travelwhitewhale.com/contact-us/</t>
  </si>
  <si>
    <t>White Whale's Rock Creek Ranch events page names the property directly, and the White Whale contact page lists this phone.</t>
  </si>
  <si>
    <t>https://travelwhitewhale.com/events/</t>
  </si>
  <si>
    <t>contact@travelwhitewhale.com</t>
  </si>
  <si>
    <t>Stay With Style Scottsdale</t>
  </si>
  <si>
    <t>https://media.vrbo.com/lodging/120000000/119260000/119256800/119256715/e051752a.jpg?impolicy=resizecrop&amp;rw=1200&amp;ra=fit</t>
  </si>
  <si>
    <t>Elite Retreat</t>
  </si>
  <si>
    <t>https://www.vrbo.com/4725986</t>
  </si>
  <si>
    <t>SWSS Premier 10BR Estate | Pool with Swim‑Up Bar | Golf Simulator | Sport Court | Sauna &amp; Col...</t>
  </si>
  <si>
    <t>+14808186559</t>
  </si>
  <si>
    <t>https://www.staywithstylescottsdale.com/listings/elite-retreat/; https://www.staywithstylescottsdale.com/contact-us/</t>
  </si>
  <si>
    <t>Exact title and amenity match tied this listing to SWSS Elite Retreat, and the public Stay With Style contact page lists this phone.</t>
  </si>
  <si>
    <t>https://www.staywithstylescottsdale.com/listings/elite-retreat/</t>
  </si>
  <si>
    <t>office@staywithstylescottsdale.com</t>
  </si>
  <si>
    <t>https://a0.muscache.com/im/pictures/d854188b-1dd6-4489-ae41-f0b50b7551ff.jpg</t>
  </si>
  <si>
    <t>Sundown Retreat</t>
  </si>
  <si>
    <t>https://www.airbnb.com/rooms/38406741</t>
  </si>
  <si>
    <t>The Sundown Estate</t>
  </si>
  <si>
    <t>https://www.staywithstylescottsdale.com/listings/sundown-retreat/; https://www.staywithstylescottsdale.com/contact-us/</t>
  </si>
  <si>
    <t>Exact title match tied this listing to Stay With Style's Sundown Retreat, and the public contact page lists this phone.</t>
  </si>
  <si>
    <t>https://www.staywithstylescottsdale.com/listings/sundown-retreat/</t>
  </si>
  <si>
    <t>Scottsdale Villas</t>
  </si>
  <si>
    <t>The Scottsdale Resort &amp; Spa</t>
  </si>
  <si>
    <t>Apartment</t>
  </si>
  <si>
    <t>Apt/Condo/Loft</t>
  </si>
  <si>
    <t>https://a0.muscache.com/im/pictures/prohost-api/Hosting-1345042628126394618/original/94abaca9-32b5-40a0-b0c3-411c14d4970a.png</t>
  </si>
  <si>
    <t>1345042628126394618</t>
  </si>
  <si>
    <t>https://www.airbnb.com/rooms/1345042628126394618</t>
  </si>
  <si>
    <t>Luxe Scottsdale Getaways | Golf View. Pool &amp; Spa</t>
  </si>
  <si>
    <t>+14809919000</t>
  </si>
  <si>
    <t>https://www.thescottsdaleresort.com/contact-us; https://www.thescottsdaleresort.com/luna-spa/lifestyle-memberships</t>
  </si>
  <si>
    <t>Property fingerprint search matched the listing to The Scottsdale Resort &amp; Spa villas, and the official resort site lists this reservations phone.</t>
  </si>
  <si>
    <t>https://www.thescottsdaleresort.com/</t>
  </si>
  <si>
    <t>scottsdaleresortfd@dhmhotels.com</t>
  </si>
  <si>
    <t>Surf to Summit Rentals</t>
  </si>
  <si>
    <t>Castle</t>
  </si>
  <si>
    <t>Unique</t>
  </si>
  <si>
    <t>Flagstaff</t>
  </si>
  <si>
    <t>mid_size_city</t>
  </si>
  <si>
    <t>https://a0.muscache.com/im/pictures/prohost-api/Hosting-12384486/original/c10c714f-3cb4-4d1a-b7c2-20a624af792e.jpeg</t>
  </si>
  <si>
    <t>339521ha</t>
  </si>
  <si>
    <t>The Castle</t>
  </si>
  <si>
    <t>https://www.airbnb.com/rooms/12384486</t>
  </si>
  <si>
    <t>The Castle – Northern Arizona's Luxury Estate</t>
  </si>
  <si>
    <t>+16024215721</t>
  </si>
  <si>
    <t>https://surftosummitrentals.com/; https://surftosummitrentals.com/contact-us</t>
  </si>
  <si>
    <t>High</t>
  </si>
  <si>
    <t>Exact title search matched The Castle, which is managed by Surf to Summit Rentals, and their official site lists this phone.</t>
  </si>
  <si>
    <t>https://surftosummitrentals.com/</t>
  </si>
  <si>
    <t>aaron@halefamily.com</t>
  </si>
  <si>
    <t>Turn Key Concierge</t>
  </si>
  <si>
    <t>https://a0.muscache.com/im/pictures/miso/Hosting-990655154033422201/original/3b64acca-0cb6-4b6e-877e-86b782bb62ab.jpeg</t>
  </si>
  <si>
    <t>990655154033422201</t>
  </si>
  <si>
    <t>https://www.airbnb.com/rooms/990655154033422201</t>
  </si>
  <si>
    <t>Modern Mansion|Heated Pool &amp; Spa|Game+Movie Room</t>
  </si>
  <si>
    <t>+16027175451</t>
  </si>
  <si>
    <t>https://www.turnkey-home.com/contact</t>
  </si>
  <si>
    <t>Exact Airbnb listing research ties the property to Turn Key Concierge, and the official contact page lists this phone.</t>
  </si>
  <si>
    <t>contact@turnkey-home.com</t>
  </si>
  <si>
    <t>The Aerie Collection</t>
  </si>
  <si>
    <t>https://a0.muscache.com/im/pictures/miso/Hosting-50792666/original/57bc2c21-0f1d-4b64-a842-2461ef56730a.jpeg</t>
  </si>
  <si>
    <t>Luxe Villa</t>
  </si>
  <si>
    <t>https://www.airbnb.com/rooms/50792666</t>
  </si>
  <si>
    <t>♥Luxe Villa♥ Pickleball♥ Salt Pool♥ Golf♥Bball♥BBQ</t>
  </si>
  <si>
    <t>+16172850319</t>
  </si>
  <si>
    <t>https://www.theaeriecollection.com/scottsdale-properties; https://www.theaeriecollection.com/contact-us</t>
  </si>
  <si>
    <t>Host accounts are linked to The Aerie Collection's Scottsdale portfolio, whose official contact page lists this phone.</t>
  </si>
  <si>
    <t>https://www.theaeriecollection.com/</t>
  </si>
  <si>
    <t>braxtoncollection@gmail.com</t>
  </si>
  <si>
    <t>https://a0.muscache.com/im/pictures/miso/Hosting-50874678/original/410c6c6f-bf3c-4c68-acfa-fec86c93ab82.jpeg</t>
  </si>
  <si>
    <t>Five Star Lux Resort</t>
  </si>
  <si>
    <t>https://www.airbnb.com/rooms/50874678</t>
  </si>
  <si>
    <t>♥Five Star♥Lux Resort♥Water-Slide♥PickleBall♥Golf♥</t>
  </si>
  <si>
    <t>https://a0.muscache.com/im/pictures/miso/Hosting-50933917/original/80e65ab5-f925-41c0-bdc9-8803e51cbb29.jpeg</t>
  </si>
  <si>
    <t>Idyllic Resort Villa</t>
  </si>
  <si>
    <t>https://www.airbnb.com/rooms/50933917</t>
  </si>
  <si>
    <t>♥Idyllic Resort♥ Water Slide♥ Pickleball♥ Golf♥ BBQ♥ Spa</t>
  </si>
  <si>
    <t>https://a0.muscache.com/im/pictures/miso/Hosting-52513449/original/8c4f4c2c-9783-48f2-8d21-69aec8093dea.jpeg</t>
  </si>
  <si>
    <t>MockingJay</t>
  </si>
  <si>
    <t>https://www.airbnb.com/rooms/52513449</t>
  </si>
  <si>
    <t>https://a0.muscache.com/im/pictures/miso/Hosting-619678046828836910/original/37579a74-d667-4c86-ba52-e61ea96d5031.jpeg</t>
  </si>
  <si>
    <t>619678046828836910</t>
  </si>
  <si>
    <t>Old Town Luxury</t>
  </si>
  <si>
    <t>https://www.airbnb.com/rooms/619678046828836910</t>
  </si>
  <si>
    <t>♥Old Town Luxury♥Swim Up Bar♥Pickle-ball♥Golf♥Spa♥</t>
  </si>
  <si>
    <t>https://a0.muscache.com/im/pictures/miso/Hosting-666614248087575597/original/d5724452-efbb-4f68-adf2-ddcd6c3f9d4c.jpeg</t>
  </si>
  <si>
    <t>666614248087575597</t>
  </si>
  <si>
    <t>High Style Villa</t>
  </si>
  <si>
    <t>https://www.airbnb.com/rooms/666614248087575597</t>
  </si>
  <si>
    <t>♥High Style Villa❚SwimBar❚PickleBall❚Old Town❚Spa♥</t>
  </si>
  <si>
    <t>The Aerie</t>
  </si>
  <si>
    <t>https://a0.muscache.com/im/pictures/miso/Hosting-777608472875567200/original/c6284a6f-d646-426b-8efa-1f9b4310caaa.jpeg</t>
  </si>
  <si>
    <t>777608472875567200</t>
  </si>
  <si>
    <t>https://www.airbnb.com/rooms/777608472875567200</t>
  </si>
  <si>
    <t>MockingJay | Scottsdale Estate | WaterSlide | PBal</t>
  </si>
  <si>
    <t>The Aerie's Scottsdale properties page lists MockingJay, and the public contact page lists this phone.</t>
  </si>
  <si>
    <t>https://www.theaeriecollection.com/scottsdale-properties</t>
  </si>
  <si>
    <t>https://a0.muscache.com/im/pictures/miso/Hosting-776835358952485962/original/4b854fc7-0ea3-41e0-a88f-1eb1d6caa55e.jpeg</t>
  </si>
  <si>
    <t>778286857772699369</t>
  </si>
  <si>
    <t>https://www.airbnb.com/rooms/778286857772699369</t>
  </si>
  <si>
    <t>The Aerie | 2 min OldTown | Swimbar+Spa | P-ball</t>
  </si>
  <si>
    <t>The Aerie's Scottsdale properties page lists The Aerie, and the public contact page lists this phone.</t>
  </si>
  <si>
    <t>Resort Style Vacation Homes</t>
  </si>
  <si>
    <t>https://a0.muscache.com/im/pictures/74afb99a-eb5f-4aa0-85b8-37dcb24a5c15.jpg</t>
  </si>
  <si>
    <t>Entertainment Oasis</t>
  </si>
  <si>
    <t>https://www.airbnb.com/rooms/38406831</t>
  </si>
  <si>
    <t>+16232270127</t>
  </si>
  <si>
    <t>https://www.resortstyle.com/listings/186370; https://www.resortstyle.com/contact-us</t>
  </si>
  <si>
    <t>Exact title match found the Entertainment Oasis page on Resort Style Vacation Homes, and the official contact page lists this phone.</t>
  </si>
  <si>
    <t>https://www.resortstyle.com/listings/186370</t>
  </si>
  <si>
    <t>info@resortstylevacationhomes.com</t>
  </si>
  <si>
    <t>https://media.vrbo.com/lodging/20000000/19820000/19813300/19813288/eb1a5c12.jpg?impolicy=resizecrop&amp;rw=1200&amp;ra=fit</t>
  </si>
  <si>
    <t>3501002ha</t>
  </si>
  <si>
    <t>8 Bedroom | Game Room | Gym | Spa | Heated Pool</t>
  </si>
  <si>
    <t>https://www.vrbo.com/3501002ha</t>
  </si>
  <si>
    <t>https://www.resortstyle.com/listings/186372; https://www.resortstyle.com/contact-us</t>
  </si>
  <si>
    <t>Exact title match found the Resort Style property page for this home, and the official contact page lists this phone.</t>
  </si>
  <si>
    <t>https://www.resortstyle.com/listings/186372</t>
  </si>
  <si>
    <t>HolidayRental.com</t>
  </si>
  <si>
    <t>https://media.vrbo.com/lodging/71000000/70150000/70144700/70144660/db90670d.jpg?impolicy=resizecrop&amp;rw=1200&amp;ra=fit</t>
  </si>
  <si>
    <t>https://www.vrbo.com/2417716</t>
  </si>
  <si>
    <t>7BR Scottsdale Estate w/ Pool, Spa, Golf &amp; 2BR Casita</t>
  </si>
  <si>
    <t>+18005303660</t>
  </si>
  <si>
    <t>https://www.holidayrental.com/contact/</t>
  </si>
  <si>
    <t>Listing is managed by HolidayRental.com and the official HolidayRental contact page lists this phone.</t>
  </si>
  <si>
    <t>https://www.holidayrental.com/</t>
  </si>
  <si>
    <t>https://a0.muscache.com/im/pictures/hosting/Hosting-39893220/original/3eff5079-ea6f-41c7-9834-68f2135556cf.jpeg</t>
  </si>
  <si>
    <t>https://www.airbnb.com/rooms/39893220</t>
  </si>
  <si>
    <t>8BR Luxury Estate: Pool, Splash Pad &amp; Pickleball</t>
  </si>
  <si>
    <t>https://a0.muscache.com/im/pictures/hosting/Hosting-U3RheVN1cHBseUxpc3Rpbmc6Mzk4OTMzMjE%3D/original/3f7023db-8750-4371-b0ca-c69aa863d14b.jpeg</t>
  </si>
  <si>
    <t>https://www.airbnb.com/rooms/39893321</t>
  </si>
  <si>
    <t>Luxury 8BR | Pickleball &amp; Heated Pool + Spa</t>
  </si>
  <si>
    <t>https://a0.muscache.com/im/pictures/hosting/Hosting-52243423/original/775452d8-feed-4904-9779-a49ab6a7e53e.jpeg</t>
  </si>
  <si>
    <t>https://www.airbnb.com/rooms/52243423</t>
  </si>
  <si>
    <t>7BR Scottsdale Estate | Heated Pool, Spa &amp; Sauna</t>
  </si>
  <si>
    <t>https://a0.muscache.com/im/pictures/prohost-api/Hosting-750851068479344247/original/72e9cf18-7b9c-4862-a7b7-88a4dc7812bc.jpeg</t>
  </si>
  <si>
    <t>750851068479344247</t>
  </si>
  <si>
    <t>https://www.airbnb.com/rooms/750851068479344247</t>
  </si>
  <si>
    <t>Multi-Million $ Resort-Style Estate w/Pickleball</t>
  </si>
  <si>
    <t>Arizona Area</t>
  </si>
  <si>
    <t>Payson</t>
  </si>
  <si>
    <t>https://a0.muscache.com/im/pictures/hosting/Hosting-759481444833195113/original/15ec454c-8f38-4bfb-88ce-dc76650fbe20.jpeg</t>
  </si>
  <si>
    <t>759481444833195113</t>
  </si>
  <si>
    <t>https://www.airbnb.com/rooms/759481444833195113</t>
  </si>
  <si>
    <t>Private 5-Acre Retreat w/ Pickleball &amp; Hot Tub</t>
  </si>
  <si>
    <t>https://a0.muscache.com/im/pictures/hosting/Hosting-963790357909900606/original/9ae9176b-88a4-44c7-905e-0ed98366c411.jpeg</t>
  </si>
  <si>
    <t>963790357909900606</t>
  </si>
  <si>
    <t>https://www.airbnb.com/rooms/963790357909900606</t>
  </si>
  <si>
    <t>7BR Resort Estate | Pool, Pickleball &amp; Views</t>
  </si>
  <si>
    <t>https://a0.muscache.com/im/pictures/prohost-api/Hosting-1354532747362290532/original/a0e021cf-3a37-4cf1-8be8-69d9720b15b4.jpeg</t>
  </si>
  <si>
    <t>1354532747362290532</t>
  </si>
  <si>
    <t>https://www.airbnb.com/rooms/1354532747362290532</t>
  </si>
  <si>
    <t>Entertainers Paradise! $6M Estate with Lagoon Pool</t>
  </si>
  <si>
    <t>Gathering Tree</t>
  </si>
  <si>
    <t>https://media.vrbo.com/lodging/115000000/114600000/114594600/114594563/e92dc45b.jpg?impolicy=resizecrop&amp;rw=1200&amp;ra=fit</t>
  </si>
  <si>
    <t>The Conservatory at Brick &amp; Beam</t>
  </si>
  <si>
    <t>https://www.vrbo.com/4519123</t>
  </si>
  <si>
    <t>Brick &amp; Beam A Conservatory by Gathering Tree</t>
  </si>
  <si>
    <t>+19282754032</t>
  </si>
  <si>
    <t>https://www.gatheringtree.com/the-conservatory-at-brick-beam-orp5b6d6a1x; https://www.gatheringtree.com/availability</t>
  </si>
  <si>
    <t>Exact title and brand match found the Gathering Tree Brick &amp; Beam property page, and Gathering Tree lists this phone in its public site footer.</t>
  </si>
  <si>
    <t>https://www.gatheringtree.com/the-conservatory-at-brick-beam-orp5b6d6a1x</t>
  </si>
  <si>
    <t>nicole@gatheringtree.com</t>
  </si>
  <si>
    <t>LuXXHome Vacation Rentals</t>
  </si>
  <si>
    <t>Fountain Hills</t>
  </si>
  <si>
    <t>https://media.vrbo.com/lodging/74000000/73280000/73273100/73273068/11741500.jpg?impolicy=resizecrop&amp;rw=1200&amp;ra=fit</t>
  </si>
  <si>
    <t>The One</t>
  </si>
  <si>
    <t>https://www.vrbo.com/2563495</t>
  </si>
  <si>
    <t>BIGGEST BEST MANSION In NE Scottsdale Area- VIEWS, Infinity Pool, MOVIE THEATER!</t>
  </si>
  <si>
    <t>+19283161390</t>
  </si>
  <si>
    <t>https://www.luxxhomevacations.com/; https://www.luxxhomevacations.com/about-us</t>
  </si>
  <si>
    <t>Exact title search matched The One, which is managed by LuXXHome Vacation Rentals, and their official site lists this phone.</t>
  </si>
  <si>
    <t>https://www.luxxhomevacations.com/</t>
  </si>
  <si>
    <t>https://a0.muscache.com/im/pictures/miso/Hosting-50745866/original/2c4cbf5b-c5f3-4cef-bb57-5f9630addfb8.jpeg</t>
  </si>
  <si>
    <t>Casa Panoramic Views</t>
  </si>
  <si>
    <t>https://www.airbnb.com/rooms/50745866</t>
  </si>
  <si>
    <t>3 Million Dollar Mansion #1 BEST VIEWS Movie Pool</t>
  </si>
  <si>
    <t>https://www.luxxhomevacations.com/listing?a=50745866; https://www.luxxhomevacations.com/about-us</t>
  </si>
  <si>
    <t>Exact listing ID match found the LuXXHome property page for this mansion, and LuXXHome lists this phone publicly.</t>
  </si>
  <si>
    <t>https://www.luxxhomevacations.com/listing?a=50745866</t>
  </si>
  <si>
    <t>https://a0.muscache.com/im/pictures/miso/Hosting-563978014938460765/original/a7c2a694-41c7-43d8-9a93-240843798ebc.jpeg</t>
  </si>
  <si>
    <t>563978014938460765</t>
  </si>
  <si>
    <t>https://www.airbnb.com/rooms/563978014938460765</t>
  </si>
  <si>
    <t>VIEWS 9400 SQ FT Mansion Infinity Slide Pool, MVIE</t>
  </si>
  <si>
    <t>Exact mansion title appears on LuXXHome's public inventory and LuXXHome lists this phone publicly.</t>
  </si>
  <si>
    <t>Wooden Nickel Cabins</t>
  </si>
  <si>
    <t>https://media.vrbo.com/lodging/65000000/64910000/64903000/64902926/da461f6a.jpg?impolicy=resizecrop&amp;rw=1200&amp;ra=fit</t>
  </si>
  <si>
    <t>https://www.vrbo.com/2218327</t>
  </si>
  <si>
    <t>6 Cabins with Kitchens+Gameroom&amp;Playground</t>
  </si>
  <si>
    <t>+19284784519</t>
  </si>
  <si>
    <t>https://woodennickelcabins.com/contact-us/; https://www.expedia.com/Payson-Hotels-Rent-The-Entire-Resort-5-Cabins-Plus-Game-Room.h64902926.Hotel-Information</t>
  </si>
  <si>
    <t>Exact title match tied the resort listing to Wooden Nickel Cabins, and the official Wooden Nickel contact page lists this phone.</t>
  </si>
  <si>
    <t>property</t>
  </si>
  <si>
    <t>https://woodennickelcabins.com/</t>
  </si>
  <si>
    <t>https://a0.muscache.com/im/pictures/prohost-api/Hosting-48317305/original/6b3b6f46-e410-4787-8cb2-2f4305e8ddda.png</t>
  </si>
  <si>
    <t>https://www.airbnb.com/rooms/48317305</t>
  </si>
  <si>
    <t>Exact title match tied the Airbnb listing to Wooden Nickel Cabins, and the official Wooden Nickel contact page lists this phone.</t>
  </si>
  <si>
    <t>Fort Mcdowell</t>
  </si>
  <si>
    <t>https://media.vrbo.com/lodging/76000000/75200000/75191100/75191030/9bccdc99.jpg?impolicy=resizecrop&amp;rw=1200&amp;ra=fit</t>
  </si>
  <si>
    <t>https://www.vrbo.com/2654160</t>
  </si>
  <si>
    <t>Five Star Luxe Private Desert Resort</t>
  </si>
  <si>
    <t>No confirmed public phone captured in this pass; left blank rather than guessing.</t>
  </si>
  <si>
    <t>https://a0.muscache.com/im/pictures/ee15f475-a920-4e19-9ae1-c2edc6b3dd89.jpg</t>
  </si>
  <si>
    <t>https://www.airbnb.com/rooms/13149139</t>
  </si>
  <si>
    <t>Paradise Valley Estate</t>
  </si>
  <si>
    <t>https://a0.muscache.com/im/pictures/miso/Hosting-14445177/original/121642d6-8911-46d0-b5f1-d790d1337fdc.jpeg</t>
  </si>
  <si>
    <t>https://www.airbnb.com/rooms/14445177</t>
  </si>
  <si>
    <t>Mansion on the Mountain</t>
  </si>
  <si>
    <t>https://a0.muscache.com/im/pictures/hosting/Hosting-U3RheVN1cHBseUxpc3Rpbmc6MTQ0NDg5NTY%3D/original/9f7b1646-91e0-4d73-81d5-4b29e16ecc28.jpeg</t>
  </si>
  <si>
    <t>https://www.airbnb.com/rooms/14448956</t>
  </si>
  <si>
    <t>Private Mansion Estate with Pool and Mini Golf</t>
  </si>
  <si>
    <t>https://a0.muscache.com/im/pictures/miso/Hosting-15059264/original/6fd2cd8d-6653-4aca-8c21-490dd0f1ef44.jpeg</t>
  </si>
  <si>
    <t>https://www.airbnb.com/rooms/15059264</t>
  </si>
  <si>
    <t>Scottsdale Family Estate: Pool, Spa &amp; Pickleball</t>
  </si>
  <si>
    <t>https://a0.muscache.com/im/pictures/9c4469a4-b249-45a8-b6c7-660029df4d3e.jpg</t>
  </si>
  <si>
    <t>4337710ha</t>
  </si>
  <si>
    <t>https://www.airbnb.com/rooms/15820561</t>
  </si>
  <si>
    <t>The Oasis Scottsdale - Award-Winning Resort Home</t>
  </si>
  <si>
    <t>Page</t>
  </si>
  <si>
    <t>https://a0.muscache.com/im/pictures/07fdd71e-2337-4429-abe5-c774f5b0de98.jpg</t>
  </si>
  <si>
    <t>https://www.airbnb.com/rooms/20650707</t>
  </si>
  <si>
    <t>Luxury - Pool &amp; Spa, 7 Bd. 4 Bth 4300 sq ft VIEWS!</t>
  </si>
  <si>
    <t>https://a0.muscache.com/im/pictures/35725519-9bf4-4f24-b93f-0f16dace97dc.jpg</t>
  </si>
  <si>
    <t>https://www.airbnb.com/rooms/38241569</t>
  </si>
  <si>
    <t>Camelback Mountain Mansion in Paradise Valley, AZ</t>
  </si>
  <si>
    <t>https://a0.muscache.com/im/pictures/prohost-api/Hosting-39553376/original/06e5468f-b930-45b1-b8a2-a3d2e476332f.jpeg</t>
  </si>
  <si>
    <t>9275172ha</t>
  </si>
  <si>
    <t>https://www.airbnb.com/rooms/39553376</t>
  </si>
  <si>
    <t>Cactus Casa! Pool/spa, game rm, putt Grn, 8 Bdr, 6</t>
  </si>
  <si>
    <t>https://a0.muscache.com/im/pictures/81e63203-9a78-4eb6-a2e2-c149e6c9e0f6.jpg</t>
  </si>
  <si>
    <t>9932575ha</t>
  </si>
  <si>
    <t>https://www.airbnb.com/rooms/41090061</t>
  </si>
  <si>
    <t>3 houses for your big group~VIEW~PETS~boat parking</t>
  </si>
  <si>
    <t>https://a0.muscache.com/im/pictures/435f7cff-07e6-468e-986d-44d8cc217b59.jpg</t>
  </si>
  <si>
    <t>https://www.airbnb.com/rooms/46093049</t>
  </si>
  <si>
    <t>6Br/5bath-Multimillion Dollar Resort in Scottsdale</t>
  </si>
  <si>
    <t>https://a0.muscache.com/im/pictures/miso/Hosting-46641901/original/98269771-b963-4698-b57d-8606343a9ae7.jpeg</t>
  </si>
  <si>
    <t>https://www.airbnb.com/rooms/46641901</t>
  </si>
  <si>
    <t>The Estate at Gold Dust</t>
  </si>
  <si>
    <t>Pinetop</t>
  </si>
  <si>
    <t>https://a0.muscache.com/im/pictures/b5baec4b-abcf-45aa-9a63-edfb7b245604.jpg</t>
  </si>
  <si>
    <t>https://www.airbnb.com/rooms/46854293</t>
  </si>
  <si>
    <t>*Huge Cabin Near Woodland Lake, Sleeps 36</t>
  </si>
  <si>
    <t>https://a0.muscache.com/im/pictures/miso/Hosting-47911878/original/1eab8f4e-f1fe-4959-bdb0-fb54e7520a5e.jpeg</t>
  </si>
  <si>
    <t>9545583ha</t>
  </si>
  <si>
    <t>https://www.airbnb.com/rooms/47911878</t>
  </si>
  <si>
    <t>BEST LOCATION 6 BATHS GOLF HEATED POOL SPA &amp; BBQ!</t>
  </si>
  <si>
    <t>Lake Havasu/Kingman</t>
  </si>
  <si>
    <t>Lake Havasu City</t>
  </si>
  <si>
    <t>https://a0.muscache.com/im/pictures/miso/Hosting-51520493/original/01616304-1c9a-4b1f-953e-b9cc7a6a533c.jpeg</t>
  </si>
  <si>
    <t>https://www.airbnb.com/rooms/51520493</t>
  </si>
  <si>
    <t>Multi-Million Dollar Luxury Resort Estate/Sleeps18</t>
  </si>
  <si>
    <t>https://a0.muscache.com/im/pictures/prohost-api/Hosting-51930360/original/9f0f202a-8f6e-4fa3-80a1-f30c753b2681.jpeg</t>
  </si>
  <si>
    <t>https://www.airbnb.com/rooms/51930360</t>
  </si>
  <si>
    <t>The Carriage Place Mansion</t>
  </si>
  <si>
    <t>https://a0.muscache.com/im/pictures/miso/Hosting-53295598/original/dbc4a422-53b2-4e30-a6e3-4ae390e31bd8.jpeg</t>
  </si>
  <si>
    <t>https://www.airbnb.com/rooms/53295598</t>
  </si>
  <si>
    <t>Vacation paradise Family reunions Business retreat</t>
  </si>
  <si>
    <t>https://a0.muscache.com/im/pictures/miso/Hosting-53403710/original/5b058adf-9f7b-4a45-97f7-ae07cfb9ddaa.jpeg</t>
  </si>
  <si>
    <t>https://www.airbnb.com/rooms/53403710</t>
  </si>
  <si>
    <t>Desert Pickle-ball Paradise in Scottsdale</t>
  </si>
  <si>
    <t>https://a0.muscache.com/im/pictures/prohost-api/Hosting-53783795/original/32e49fc3-b7ab-4444-9300-456d8a065a24.jpeg</t>
  </si>
  <si>
    <t>https://www.airbnb.com/rooms/53783795</t>
  </si>
  <si>
    <t>Relax in style at a luxury Flagstaff lodge</t>
  </si>
  <si>
    <t>https://a0.muscache.com/im/pictures/prohost-api/Hosting-54340304/original/7e5e5e53-6278-4e51-a92b-b74943a6dd59.jpeg</t>
  </si>
  <si>
    <t>https://www.airbnb.com/rooms/54340304</t>
  </si>
  <si>
    <t>Private 2-Acre Scottsdale Oasis</t>
  </si>
  <si>
    <t>Vacation home</t>
  </si>
  <si>
    <t>Carefree</t>
  </si>
  <si>
    <t>https://a0.muscache.com/im/pictures/miso/Hosting-54408793/original/8810dc50-b242-4efa-a0c8-c956aa387440.jpeg</t>
  </si>
  <si>
    <t>https://www.airbnb.com/rooms/54408793</t>
  </si>
  <si>
    <t>Lux Scottsdale/ Carefree family retreat golf pool</t>
  </si>
  <si>
    <t>https://a0.muscache.com/im/pictures/hosting/Hosting-583438115830632696/original/ca55b7d7-4efd-414e-b120-3622f423ea0e.jpeg</t>
  </si>
  <si>
    <t>583438115830632696</t>
  </si>
  <si>
    <t>https://www.airbnb.com/rooms/583438115830632696</t>
  </si>
  <si>
    <t>Resort Backyard | Lakeviews | Near Riviera Marina</t>
  </si>
  <si>
    <t>https://a0.muscache.com/im/pictures/prohost-api/Hosting-641948145300815391/original/1b5d9098-291f-457b-ad58-6236d0b0bffc.jpeg</t>
  </si>
  <si>
    <t>641948145300815391</t>
  </si>
  <si>
    <t>https://www.airbnb.com/rooms/641948145300815391</t>
  </si>
  <si>
    <t>The Desert Cove 14 Beds+Pool+Hot tub+Putt+Casita</t>
  </si>
  <si>
    <t>https://a0.muscache.com/im/pictures/prohost-api/Hosting-653612998215005335/original/3ae7acb1-5d7f-4b32-88f0-ce599114ede9.jpeg</t>
  </si>
  <si>
    <t>653612998215005335</t>
  </si>
  <si>
    <t>https://www.airbnb.com/rooms/653612998215005335</t>
  </si>
  <si>
    <t>Desert Bachelor Oasis-Golf-Arcade Games-Volleyball</t>
  </si>
  <si>
    <t>https://a0.muscache.com/im/pictures/prohost-api/Hosting-681178880899806223/original/d71a29a7-024f-4f4a-ba15-78865d7fc355.jpeg</t>
  </si>
  <si>
    <t>681178880899806223</t>
  </si>
  <si>
    <t>https://www.airbnb.com/rooms/681178880899806223</t>
  </si>
  <si>
    <t>7BR Forest Estate | Hot Tub · Volleyball · Sleeps</t>
  </si>
  <si>
    <t>https://a0.muscache.com/im/pictures/miso/Hosting-716812581234770969/original/78175966-eb06-4785-92b8-e3faa703abb6.jpeg</t>
  </si>
  <si>
    <t>716812581234770969</t>
  </si>
  <si>
    <t>https://www.airbnb.com/rooms/716812581234770969</t>
  </si>
  <si>
    <t>Massive Modern Desert Beauty in Scottsdale</t>
  </si>
  <si>
    <t>Prescott</t>
  </si>
  <si>
    <t>rural</t>
  </si>
  <si>
    <t>https://a0.muscache.com/im/pictures/hosting/Hosting-734136588867847427/original/d5fddbc1-735b-48ad-b8bd-7357d190a117.jpeg</t>
  </si>
  <si>
    <t>734136588867847427</t>
  </si>
  <si>
    <t>https://www.airbnb.com/rooms/734136588867847427</t>
  </si>
  <si>
    <t>View ~ATV~Karaoke Bar ~Kayaks/Bikes ~Hot Tub/Sauna</t>
  </si>
  <si>
    <t>https://a0.muscache.com/im/pictures/miso/Hosting-734684870499632090/original/bfd2eee5-8f2e-4074-abab-5ad24d7bc658.jpeg</t>
  </si>
  <si>
    <t>734684870499632090</t>
  </si>
  <si>
    <t>https://www.airbnb.com/rooms/734684870499632090</t>
  </si>
  <si>
    <t>Scottsdale Luxury: Pool, Golf, Tennis/Pickleball</t>
  </si>
  <si>
    <t>https://a0.muscache.com/im/pictures/miso/Hosting-755820874037012535/original/0c28a7c7-04e1-40c6-98f3-e9dd34f4e837.jpeg</t>
  </si>
  <si>
    <t>755820874037012535</t>
  </si>
  <si>
    <t>https://www.airbnb.com/rooms/755820874037012535</t>
  </si>
  <si>
    <t>Luxury Estate~Resort Backyard~Pool/Spa~Pickleball</t>
  </si>
  <si>
    <t>https://a0.muscache.com/im/pictures/prohost-api/Hosting-763034296118607538/original/59ade490-226f-4986-a07d-ae1d793a825d.jpeg</t>
  </si>
  <si>
    <t>763034296118607538</t>
  </si>
  <si>
    <t>https://www.airbnb.com/rooms/763034296118607538</t>
  </si>
  <si>
    <t>The Big Dog | Custom Estate | Heated Pool &amp; Spa</t>
  </si>
  <si>
    <t>https://a0.muscache.com/im/pictures/miso/Hosting-785614566736575463/original/ccc2224c-f2f1-4fde-b384-38603cbddb26.jpeg</t>
  </si>
  <si>
    <t>785614566736575463</t>
  </si>
  <si>
    <t>https://www.airbnb.com/rooms/785614566736575463</t>
  </si>
  <si>
    <t>The Scottsdale Haven w Heated Pool, 7 bed/7 bath</t>
  </si>
  <si>
    <t>Luxe Homes</t>
  </si>
  <si>
    <t>https://a0.muscache.com/im/pictures/prohost-api/Hosting-806658763044268066/original/1b36f41e-28f1-4f49-b5b1-e5843e92f211.jpeg</t>
  </si>
  <si>
    <t>806658763044268066</t>
  </si>
  <si>
    <t>https://www.airbnb.com/rooms/806658763044268066</t>
  </si>
  <si>
    <t>Luxury 7BR Dream Villa Top of Camelback Best Views</t>
  </si>
  <si>
    <t>https://a0.muscache.com/im/pictures/hosting/Hosting-U3RheVN1cHBseUxpc3Rpbmc6ODI4MjkxOTU0NDk0NjA2OTU5/original/89ee70db-0380-497a-a13c-e1d8fc0f2574.jpeg</t>
  </si>
  <si>
    <t>828291954494606959</t>
  </si>
  <si>
    <t>https://www.airbnb.com/rooms/828291954494606959</t>
  </si>
  <si>
    <t>AwardWinning RitzCarlton GolfChâteau|50%offMay-Nov</t>
  </si>
  <si>
    <t>https://a0.muscache.com/im/pictures/prohost-api/Hosting-917458015210307634/original/e15cb9aa-58b2-41f6-8622-710bda560427.jpeg</t>
  </si>
  <si>
    <t>917458015210307634</t>
  </si>
  <si>
    <t>https://www.airbnb.com/rooms/917458015210307634</t>
  </si>
  <si>
    <t>The 19th Hole: Pool, Spa, Pool Table, Sauna!</t>
  </si>
  <si>
    <t>https://a0.muscache.com/im/pictures/miso/Hosting-954583143517845100/original/17336a18-21e1-4c47-b698-3f7fbdad33cc.png</t>
  </si>
  <si>
    <t>954583143517845100</t>
  </si>
  <si>
    <t>https://www.airbnb.com/rooms/954583143517845100</t>
  </si>
  <si>
    <t>Large Cabin, 17 Acres | Playground | Forest Access</t>
  </si>
  <si>
    <t>https://a0.muscache.com/im/pictures/miso/Hosting-955286605424179513/original/c1f0afc5-0846-4e49-94cf-d8f63cdded2e.jpeg</t>
  </si>
  <si>
    <t>955286605424179513</t>
  </si>
  <si>
    <t>https://www.airbnb.com/rooms/955286605424179513</t>
  </si>
  <si>
    <t>8BR/9BA Desert Oasis: Pool, Sand Beach &amp; Game Barn</t>
  </si>
  <si>
    <t>https://a0.muscache.com/im/pictures/hosting/Hosting-U3RheVN1cHBseUxpc3Rpbmc6OTY3NTA5ODI2MjE3ODk0OTc4/original/307490ea-c4f0-4c3a-a10e-2ab970d6bd9c.jpeg</t>
  </si>
  <si>
    <t>967509826217894978</t>
  </si>
  <si>
    <t>https://www.airbnb.com/rooms/967509826217894978</t>
  </si>
  <si>
    <t>Kierland Oasis W/ Pickleball, Pool &amp; Putting Green</t>
  </si>
  <si>
    <t>https://a0.muscache.com/im/pictures/hosting/Hosting-969551303883070613/original/22c8d84f-95ef-4029-ac5b-591b7c435980.jpeg</t>
  </si>
  <si>
    <t>969551303883070613</t>
  </si>
  <si>
    <t>https://www.airbnb.com/rooms/969551303883070613</t>
  </si>
  <si>
    <t>Elite Luxury Pickleball Palace-Heated Pool</t>
  </si>
  <si>
    <t>https://a0.muscache.com/im/pictures/miso/Hosting-1009503596567019771/original/2ce26bc5-0a35-482b-875e-58d28417b559.jpeg</t>
  </si>
  <si>
    <t>1009503596567019771</t>
  </si>
  <si>
    <t>https://www.airbnb.com/rooms/1009503596567019771</t>
  </si>
  <si>
    <t>Lake Havasu Lagoon</t>
  </si>
  <si>
    <t>https://a0.muscache.com/im/pictures/miso/Hosting-1029949376513853647/original/09e7a731-f550-467a-949c-031624f52223.jpeg</t>
  </si>
  <si>
    <t>1029949376513853647</t>
  </si>
  <si>
    <t>https://www.airbnb.com/rooms/1029949376513853647</t>
  </si>
  <si>
    <t>8BR Families Groups sleeps 16+ Hot Tub - Game room</t>
  </si>
  <si>
    <t>https://a0.muscache.com/im/pictures/miso/Hosting-1077813310260513265/original/123122b6-3b05-41bc-abb0-db4ae36dad8b.jpeg</t>
  </si>
  <si>
    <t>1077813310260513265</t>
  </si>
  <si>
    <t>https://www.airbnb.com/rooms/1077813310260513265</t>
  </si>
  <si>
    <t>Desert Diamond HTD Pool/Hot Tub/Tennis/BBall/Sauna</t>
  </si>
  <si>
    <t>Greenville</t>
  </si>
  <si>
    <t>Greer</t>
  </si>
  <si>
    <t>Taylors</t>
  </si>
  <si>
    <t>South Carolina</t>
  </si>
  <si>
    <t>https://a0.muscache.com/im/pictures/prohost-api/Hosting-1115368828074908781/original/b7c308da-66db-49dc-83a3-825a68082e81.jpeg</t>
  </si>
  <si>
    <t>1115368828074908781</t>
  </si>
  <si>
    <t>https://www.airbnb.com/rooms/1115368828074908781</t>
  </si>
  <si>
    <t>Oak View Inn A Newly Renovated Luxury Guest House</t>
  </si>
  <si>
    <t>https://a0.muscache.com/im/pictures/hosting/Hosting-U3RheVN1cHBseUxpc3Rpbmc6MTE0NzI4MjUxNjk4MjI0NTg3NQ%3D%3D/original/925e4eab-97f4-4ce1-a9f5-e52303bb7cf2.jpeg</t>
  </si>
  <si>
    <t>1147282516982245875</t>
  </si>
  <si>
    <t>https://www.airbnb.com/rooms/1147282516982245875</t>
  </si>
  <si>
    <t>WOW-Views! 7 Bd, 6 bth Infinity Pool&amp;Spa 7000 sqft</t>
  </si>
  <si>
    <t>https://a0.muscache.com/im/pictures/miso/Hosting-1169747159491685881/original/55e26097-cb03-474f-9e0d-ad7145294f1e.jpeg</t>
  </si>
  <si>
    <t>1169747159491685881</t>
  </si>
  <si>
    <t>https://www.airbnb.com/rooms/1169747159491685881</t>
  </si>
  <si>
    <t>Casa de Camelback- Views and location!</t>
  </si>
  <si>
    <t>https://a0.muscache.com/im/pictures/prohost-api/Hosting-1183852806011068462/original/c40ba838-fca4-41da-963d-3a66a20106fc.jpeg</t>
  </si>
  <si>
    <t>1183852806011068462</t>
  </si>
  <si>
    <t>https://www.airbnb.com/rooms/1183852806011068462</t>
  </si>
  <si>
    <t>Luxury Scottsdale Villa with Pool &amp; Spa</t>
  </si>
  <si>
    <t>https://a0.muscache.com/im/pictures/hosting/Hosting-1222098788094563970/original/f911724d-d4b8-4de2-958f-7fb4b4cab2a6.jpeg</t>
  </si>
  <si>
    <t>1222098788094563970</t>
  </si>
  <si>
    <t>https://www.airbnb.com/rooms/1222098788094563970</t>
  </si>
  <si>
    <t>Pickleball | Pool • Spa • Sleeps 26 | Near Marina</t>
  </si>
  <si>
    <t>https://a0.muscache.com/im/pictures/miso/Hosting-1238590817847283488/original/45df5ae1-bbc6-4824-8c02-3e5a1670c93e.jpeg</t>
  </si>
  <si>
    <t>1238590817847283488</t>
  </si>
  <si>
    <t>https://www.airbnb.com/rooms/1238590817847283488</t>
  </si>
  <si>
    <t>Luxe PV Estate • Sleeps 16 • Resort Yard &amp; Pool</t>
  </si>
  <si>
    <t>https://a0.muscache.com/im/pictures/hosting/Hosting-U3RheVN1cHBseUxpc3Rpbmc6MTI2OTI4NjQ1MjIxNTgyMTMwMw==/original/eaf1ea2b-c627-45d8-a6ac-b64682c2cada.jpeg</t>
  </si>
  <si>
    <t>1269286452215821303</t>
  </si>
  <si>
    <t>https://www.airbnb.com/rooms/1269286452215821303</t>
  </si>
  <si>
    <t>The Showstopper Escape</t>
  </si>
  <si>
    <t>https://a0.muscache.com/im/pictures/hosting/Hosting-U3RheVN1cHBseUxpc3Rpbmc6MTI4ODQ3MjYzMDI4MDY1NzcwNw==/original/0c8b4715-b390-48a3-be08-5f171e838513.jpeg</t>
  </si>
  <si>
    <t>1288472630280657707</t>
  </si>
  <si>
    <t>https://www.airbnb.com/rooms/1288472630280657707</t>
  </si>
  <si>
    <t>Iconic Views w/Pickleball &amp; Gameroom | Pool &amp; Spa</t>
  </si>
  <si>
    <t>https://a0.muscache.com/im/pictures/hosting/Hosting-U3RheVN1cHBseUxpc3Rpbmc6MTMxNDU3NTUxMDI2MzIxNjUyNg%3D%3D/original/da6750db-a0e2-4ba2-80be-db4ecff26890.jpeg</t>
  </si>
  <si>
    <t>1314575510263216526</t>
  </si>
  <si>
    <t>https://www.airbnb.com/rooms/1314575510263216526</t>
  </si>
  <si>
    <t>Luxury Estate Acre Lot-Pickleball-Pool-Spa-Gym</t>
  </si>
  <si>
    <t>https://a0.muscache.com/im/pictures/hosting/Hosting-U3RheVN1cHBseUxpc3Rpbmc6MTMxOTY4MDA5MjIxMjkwOTg2MQ%3D%3D/original/93a867bf-2541-43f5-aab3-17b6c958d8b2.jpeg</t>
  </si>
  <si>
    <t>1319680092212909861</t>
  </si>
  <si>
    <t>https://www.airbnb.com/rooms/1319680092212909861</t>
  </si>
  <si>
    <t>Luxury 5-BR Flagstaff Cabin</t>
  </si>
  <si>
    <t>https://a0.muscache.com/im/pictures/hosting/Hosting-1324036086365947403/original/c50c1078-3345-4e5b-9c3a-0adcb5efc788.jpeg</t>
  </si>
  <si>
    <t>1324036086365947403</t>
  </si>
  <si>
    <t>https://www.airbnb.com/rooms/1324036086365947403</t>
  </si>
  <si>
    <t>GolfSim | Theatr | HotTub | 4 KingSuites | 6 Bunks</t>
  </si>
  <si>
    <t>https://a0.muscache.com/im/pictures/miso/Hosting-1339242627641411557/original/a823634d-c778-4227-a5d2-945a735fae8e.jpeg</t>
  </si>
  <si>
    <t>1339242627641411557</t>
  </si>
  <si>
    <t>https://www.airbnb.com/rooms/1339242627641411557</t>
  </si>
  <si>
    <t>The Vale &amp; Sage | Luxury Private Resort Home</t>
  </si>
  <si>
    <t>https://a0.muscache.com/im/pictures/miso/Hosting-1342436588176503315/original/3434b2da-ed81-4e1a-badd-a949e1339241.jpeg</t>
  </si>
  <si>
    <t>1342436588176503315</t>
  </si>
  <si>
    <t>https://www.airbnb.com/rooms/1342436588176503315</t>
  </si>
  <si>
    <t>7BR Lux Pool &amp; Pickleball Oasis w/Speakeasy</t>
  </si>
  <si>
    <t>https://a0.muscache.com/im/pictures/prohost-api/Hosting-1353919194026569025/original/eec6c263-514b-450d-898b-ee0e4296c25b.jpeg</t>
  </si>
  <si>
    <t>1353919194026569025</t>
  </si>
  <si>
    <t>https://www.airbnb.com/rooms/1353919194026569025</t>
  </si>
  <si>
    <t>Luxury 6,000+ sq ft Hideaway with Heated Pool, Spa</t>
  </si>
  <si>
    <t>Williams</t>
  </si>
  <si>
    <t>https://a0.muscache.com/im/pictures/prohost-api/Hosting-1371285680815890803/original/cda27521-84ad-438e-8596-3a34ff54fe56.jpeg</t>
  </si>
  <si>
    <t>1371285680815890803</t>
  </si>
  <si>
    <t>https://www.airbnb.com/rooms/1371285680815890803</t>
  </si>
  <si>
    <t>Hot Tub, Grill, Fire Pit | 25 mins to Grand Canyon</t>
  </si>
  <si>
    <t>https://a0.muscache.com/im/pictures/miso/Hosting-1390643911852394476/original/356ed5a2-f726-4a03-9947-5a504d968f29.jpeg</t>
  </si>
  <si>
    <t>1390643911852394476</t>
  </si>
  <si>
    <t>https://www.airbnb.com/rooms/1390643911852394476</t>
  </si>
  <si>
    <t>The Big Deck Home Pickleball  Arcade  Hot Tub Pets</t>
  </si>
  <si>
    <t>https://a0.muscache.com/im/pictures/prohost-api/Hosting-1436609231195398676/original/36877252-51ae-4ed0-b417-733d0a1288b6.jpeg</t>
  </si>
  <si>
    <t>1436609231195398676</t>
  </si>
  <si>
    <t>https://www.airbnb.com/rooms/1436609231195398676</t>
  </si>
  <si>
    <t>[The Grandview] Pool, Pickleball, Hot Tub, Views</t>
  </si>
  <si>
    <t>https://a0.muscache.com/im/pictures/miso/Hosting-1461902864732258855/original/3068190c-2ac2-478e-b26e-ca238c23c7d9.jpeg</t>
  </si>
  <si>
    <t>1461902864732258855</t>
  </si>
  <si>
    <t>https://www.airbnb.com/rooms/1461902864732258855</t>
  </si>
  <si>
    <t>Luxury Retreat • Hot Tub • Games</t>
  </si>
  <si>
    <t>https://a0.muscache.com/im/pictures/hosting/Hosting-1534142511199506165/original/b50bcf54-163e-48f4-a1b6-5850c197cdab.jpeg</t>
  </si>
  <si>
    <t>1534142511199506165</t>
  </si>
  <si>
    <t>https://www.airbnb.com/rooms/1534142511199506165</t>
  </si>
  <si>
    <t>Luxury Resort Retreat, Your Private Escape</t>
  </si>
  <si>
    <t>https://a0.muscache.com/im/pictures/hosting/Hosting-1548884418977602060/original/8c948535-0119-4aa2-9884-0455abcafc3e.png</t>
  </si>
  <si>
    <t>1548884418977602060</t>
  </si>
  <si>
    <t>https://www.airbnb.com/rooms/1548884418977602060</t>
  </si>
  <si>
    <t>Mansion Toscania: ultra-luxury 10-Bds, 10.5 Baths</t>
  </si>
  <si>
    <t>https://a0.muscache.com/im/pictures/prohost-api/Hosting-1550283602874908175/original/6967f5f5-9530-45b7-8cd1-960c875c52f0.jpeg</t>
  </si>
  <si>
    <t>1550283602874908175</t>
  </si>
  <si>
    <t>https://www.airbnb.com/rooms/1550283602874908175</t>
  </si>
  <si>
    <t>Indoor Pickleball | Hot Tub &amp; Sauna | Sleeps 22</t>
  </si>
  <si>
    <t>https://a0.muscache.com/im/pictures/hosting/Hosting-1565568181308368429/original/f75b9440-d56b-42e8-be60-da67b7f154a6.jpeg</t>
  </si>
  <si>
    <t>1565568181308368429</t>
  </si>
  <si>
    <t>https://www.airbnb.com/rooms/1565568181308368429</t>
  </si>
  <si>
    <t>Massive 7bd Rsrt | Bunkroom • Slps 28 | Pool &amp; Spa</t>
  </si>
  <si>
    <t>https://a0.muscache.com/im/pictures/hosting/Hosting-1580042023712880768/original/9b43fc79-dddd-4c1d-8a88-45491a700e67.jpeg</t>
  </si>
  <si>
    <t>1580042023712880768</t>
  </si>
  <si>
    <t>https://www.airbnb.com/rooms/1580042023712880768</t>
  </si>
  <si>
    <t>$10M Estate - Heated Pool, Huge Spa, Sleeps 22</t>
  </si>
  <si>
    <t>https://a0.muscache.com/im/pictures/prohost-api/Hosting-1600126245444532540/original/624d771a-c5f2-4940-b281-ceb50c6435ba.jpeg</t>
  </si>
  <si>
    <t>1600126245444532540</t>
  </si>
  <si>
    <t>https://www.airbnb.com/rooms/1600126245444532540</t>
  </si>
  <si>
    <t>Birdie House - Scottsdale</t>
  </si>
  <si>
    <t>https://media.vrbo.com/lodging/46000000/45190000/45185300/45185260/930db425.jpg?impolicy=resizecrop&amp;rw=1200&amp;ra=fit</t>
  </si>
  <si>
    <t>4838935ha</t>
  </si>
  <si>
    <t>https://www.vrbo.com/4838935ha</t>
  </si>
  <si>
    <t>3 houses for your multi-family group, 🏜VIEW🐶PETS🚤boat parking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</si>
</sst>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1" numFmtId="165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165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0.muscache.com/im/pictures/miso/Hosting-990655154033422201/original/3b64acca-0cb6-4b6e-877e-86b782bb62ab.jpeg" TargetMode="External"/><Relationship Id="rId190" Type="http://schemas.openxmlformats.org/officeDocument/2006/relationships/hyperlink" Target="https://a0.muscache.com/im/pictures/hosting/Hosting-734136588867847427/original/d5fddbc1-735b-48ad-b8bd-7357d190a117.jpeg" TargetMode="External"/><Relationship Id="rId42" Type="http://schemas.openxmlformats.org/officeDocument/2006/relationships/hyperlink" Target="https://www.turnkey-home.com/contact" TargetMode="External"/><Relationship Id="rId41" Type="http://schemas.openxmlformats.org/officeDocument/2006/relationships/hyperlink" Target="https://www.airbnb.com/rooms/990655154033422201" TargetMode="External"/><Relationship Id="rId44" Type="http://schemas.openxmlformats.org/officeDocument/2006/relationships/hyperlink" Target="https://a0.muscache.com/im/pictures/miso/Hosting-50792666/original/57bc2c21-0f1d-4b64-a842-2461ef56730a.jpeg" TargetMode="External"/><Relationship Id="rId194" Type="http://schemas.openxmlformats.org/officeDocument/2006/relationships/hyperlink" Target="https://a0.muscache.com/im/pictures/miso/Hosting-755820874037012535/original/0c28a7c7-04e1-40c6-98f3-e9dd34f4e837.jpeg" TargetMode="External"/><Relationship Id="rId43" Type="http://schemas.openxmlformats.org/officeDocument/2006/relationships/hyperlink" Target="https://www.turnkey-home.com/contact" TargetMode="External"/><Relationship Id="rId193" Type="http://schemas.openxmlformats.org/officeDocument/2006/relationships/hyperlink" Target="https://www.airbnb.com/rooms/734684870499632090" TargetMode="External"/><Relationship Id="rId46" Type="http://schemas.openxmlformats.org/officeDocument/2006/relationships/hyperlink" Target="https://www.theaeriecollection.com/" TargetMode="External"/><Relationship Id="rId192" Type="http://schemas.openxmlformats.org/officeDocument/2006/relationships/hyperlink" Target="https://a0.muscache.com/im/pictures/miso/Hosting-734684870499632090/original/bfd2eee5-8f2e-4074-abab-5ad24d7bc658.jpeg" TargetMode="External"/><Relationship Id="rId45" Type="http://schemas.openxmlformats.org/officeDocument/2006/relationships/hyperlink" Target="https://www.airbnb.com/rooms/50792666" TargetMode="External"/><Relationship Id="rId191" Type="http://schemas.openxmlformats.org/officeDocument/2006/relationships/hyperlink" Target="https://www.airbnb.com/rooms/734136588867847427" TargetMode="External"/><Relationship Id="rId48" Type="http://schemas.openxmlformats.org/officeDocument/2006/relationships/hyperlink" Target="https://www.airbnb.com/rooms/50874678" TargetMode="External"/><Relationship Id="rId187" Type="http://schemas.openxmlformats.org/officeDocument/2006/relationships/hyperlink" Target="https://www.airbnb.com/rooms/681178880899806223" TargetMode="External"/><Relationship Id="rId47" Type="http://schemas.openxmlformats.org/officeDocument/2006/relationships/hyperlink" Target="https://a0.muscache.com/im/pictures/miso/Hosting-50874678/original/410c6c6f-bf3c-4c68-acfa-fec86c93ab82.jpeg" TargetMode="External"/><Relationship Id="rId186" Type="http://schemas.openxmlformats.org/officeDocument/2006/relationships/hyperlink" Target="https://a0.muscache.com/im/pictures/prohost-api/Hosting-681178880899806223/original/d71a29a7-024f-4f4a-ba15-78865d7fc355.jpeg" TargetMode="External"/><Relationship Id="rId185" Type="http://schemas.openxmlformats.org/officeDocument/2006/relationships/hyperlink" Target="https://www.airbnb.com/rooms/653612998215005335" TargetMode="External"/><Relationship Id="rId49" Type="http://schemas.openxmlformats.org/officeDocument/2006/relationships/hyperlink" Target="https://www.theaeriecollection.com/" TargetMode="External"/><Relationship Id="rId184" Type="http://schemas.openxmlformats.org/officeDocument/2006/relationships/hyperlink" Target="https://a0.muscache.com/im/pictures/prohost-api/Hosting-653612998215005335/original/3ae7acb1-5d7f-4b32-88f0-ce599114ede9.jpeg" TargetMode="External"/><Relationship Id="rId189" Type="http://schemas.openxmlformats.org/officeDocument/2006/relationships/hyperlink" Target="https://www.airbnb.com/rooms/716812581234770969" TargetMode="External"/><Relationship Id="rId188" Type="http://schemas.openxmlformats.org/officeDocument/2006/relationships/hyperlink" Target="https://a0.muscache.com/im/pictures/miso/Hosting-716812581234770969/original/78175966-eb06-4785-92b8-e3faa703abb6.jpeg" TargetMode="External"/><Relationship Id="rId31" Type="http://schemas.openxmlformats.org/officeDocument/2006/relationships/hyperlink" Target="https://a0.muscache.com/im/pictures/d854188b-1dd6-4489-ae41-f0b50b7551ff.jpg" TargetMode="External"/><Relationship Id="rId30" Type="http://schemas.openxmlformats.org/officeDocument/2006/relationships/hyperlink" Target="https://www.staywithstylescottsdale.com/listings/elite-retreat/" TargetMode="External"/><Relationship Id="rId33" Type="http://schemas.openxmlformats.org/officeDocument/2006/relationships/hyperlink" Target="https://www.staywithstylescottsdale.com/listings/sundown-retreat/" TargetMode="External"/><Relationship Id="rId183" Type="http://schemas.openxmlformats.org/officeDocument/2006/relationships/hyperlink" Target="https://www.airbnb.com/rooms/641948145300815391" TargetMode="External"/><Relationship Id="rId32" Type="http://schemas.openxmlformats.org/officeDocument/2006/relationships/hyperlink" Target="https://www.airbnb.com/rooms/38406741" TargetMode="External"/><Relationship Id="rId182" Type="http://schemas.openxmlformats.org/officeDocument/2006/relationships/hyperlink" Target="https://a0.muscache.com/im/pictures/prohost-api/Hosting-641948145300815391/original/1b5d9098-291f-457b-ad58-6236d0b0bffc.jpeg" TargetMode="External"/><Relationship Id="rId35" Type="http://schemas.openxmlformats.org/officeDocument/2006/relationships/hyperlink" Target="https://www.airbnb.com/rooms/1345042628126394618" TargetMode="External"/><Relationship Id="rId181" Type="http://schemas.openxmlformats.org/officeDocument/2006/relationships/hyperlink" Target="https://www.airbnb.com/rooms/583438115830632696" TargetMode="External"/><Relationship Id="rId34" Type="http://schemas.openxmlformats.org/officeDocument/2006/relationships/hyperlink" Target="https://a0.muscache.com/im/pictures/prohost-api/Hosting-1345042628126394618/original/94abaca9-32b5-40a0-b0c3-411c14d4970a.png" TargetMode="External"/><Relationship Id="rId180" Type="http://schemas.openxmlformats.org/officeDocument/2006/relationships/hyperlink" Target="https://a0.muscache.com/im/pictures/hosting/Hosting-583438115830632696/original/ca55b7d7-4efd-414e-b120-3622f423ea0e.jpeg" TargetMode="External"/><Relationship Id="rId37" Type="http://schemas.openxmlformats.org/officeDocument/2006/relationships/hyperlink" Target="https://a0.muscache.com/im/pictures/prohost-api/Hosting-12384486/original/c10c714f-3cb4-4d1a-b7c2-20a624af792e.jpeg" TargetMode="External"/><Relationship Id="rId176" Type="http://schemas.openxmlformats.org/officeDocument/2006/relationships/hyperlink" Target="https://a0.muscache.com/im/pictures/prohost-api/Hosting-54340304/original/7e5e5e53-6278-4e51-a92b-b74943a6dd59.jpeg" TargetMode="External"/><Relationship Id="rId36" Type="http://schemas.openxmlformats.org/officeDocument/2006/relationships/hyperlink" Target="https://www.thescottsdaleresort.com/" TargetMode="External"/><Relationship Id="rId175" Type="http://schemas.openxmlformats.org/officeDocument/2006/relationships/hyperlink" Target="https://www.airbnb.com/rooms/53783795" TargetMode="External"/><Relationship Id="rId39" Type="http://schemas.openxmlformats.org/officeDocument/2006/relationships/hyperlink" Target="https://surftosummitrentals.com/" TargetMode="External"/><Relationship Id="rId174" Type="http://schemas.openxmlformats.org/officeDocument/2006/relationships/hyperlink" Target="https://a0.muscache.com/im/pictures/prohost-api/Hosting-53783795/original/32e49fc3-b7ab-4444-9300-456d8a065a24.jpeg" TargetMode="External"/><Relationship Id="rId38" Type="http://schemas.openxmlformats.org/officeDocument/2006/relationships/hyperlink" Target="https://www.airbnb.com/rooms/12384486" TargetMode="External"/><Relationship Id="rId173" Type="http://schemas.openxmlformats.org/officeDocument/2006/relationships/hyperlink" Target="https://www.airbnb.com/rooms/53403710" TargetMode="External"/><Relationship Id="rId179" Type="http://schemas.openxmlformats.org/officeDocument/2006/relationships/hyperlink" Target="https://www.airbnb.com/rooms/54408793" TargetMode="External"/><Relationship Id="rId178" Type="http://schemas.openxmlformats.org/officeDocument/2006/relationships/hyperlink" Target="https://a0.muscache.com/im/pictures/miso/Hosting-54408793/original/8810dc50-b242-4efa-a0c8-c956aa387440.jpeg" TargetMode="External"/><Relationship Id="rId177" Type="http://schemas.openxmlformats.org/officeDocument/2006/relationships/hyperlink" Target="https://www.airbnb.com/rooms/54340304" TargetMode="External"/><Relationship Id="rId20" Type="http://schemas.openxmlformats.org/officeDocument/2006/relationships/hyperlink" Target="https://www.vrbo.com/4704009" TargetMode="External"/><Relationship Id="rId22" Type="http://schemas.openxmlformats.org/officeDocument/2006/relationships/hyperlink" Target="https://a0.muscache.com/im/pictures/hosting/Hosting-1426375609331601752/original/b0a93305-7a55-4de9-bd3f-b0cbd4786228.jpeg" TargetMode="External"/><Relationship Id="rId21" Type="http://schemas.openxmlformats.org/officeDocument/2006/relationships/hyperlink" Target="https://goodnightstay.com/" TargetMode="External"/><Relationship Id="rId24" Type="http://schemas.openxmlformats.org/officeDocument/2006/relationships/hyperlink" Target="https://travelwhitewhale.com/events/" TargetMode="External"/><Relationship Id="rId23" Type="http://schemas.openxmlformats.org/officeDocument/2006/relationships/hyperlink" Target="https://www.airbnb.com/rooms/1426375609331601752" TargetMode="External"/><Relationship Id="rId26" Type="http://schemas.openxmlformats.org/officeDocument/2006/relationships/hyperlink" Target="https://www.airbnb.com/rooms/1426375609331601752" TargetMode="External"/><Relationship Id="rId25" Type="http://schemas.openxmlformats.org/officeDocument/2006/relationships/hyperlink" Target="https://a0.muscache.com/im/pictures/hosting/Hosting-1426375609331601752/original/b0a93305-7a55-4de9-bd3f-b0cbd4786228.jpeg" TargetMode="External"/><Relationship Id="rId28" Type="http://schemas.openxmlformats.org/officeDocument/2006/relationships/hyperlink" Target="https://media.vrbo.com/lodging/120000000/119260000/119256800/119256715/e051752a.jpg?impolicy=resizecrop&amp;rw=1200&amp;ra=fit" TargetMode="External"/><Relationship Id="rId27" Type="http://schemas.openxmlformats.org/officeDocument/2006/relationships/hyperlink" Target="https://travelwhitewhale.com/events/" TargetMode="External"/><Relationship Id="rId29" Type="http://schemas.openxmlformats.org/officeDocument/2006/relationships/hyperlink" Target="https://www.vrbo.com/4725986" TargetMode="External"/><Relationship Id="rId11" Type="http://schemas.openxmlformats.org/officeDocument/2006/relationships/hyperlink" Target="https://lvrstays.com/" TargetMode="External"/><Relationship Id="rId10" Type="http://schemas.openxmlformats.org/officeDocument/2006/relationships/hyperlink" Target="https://lvrstays.com/" TargetMode="External"/><Relationship Id="rId13" Type="http://schemas.openxmlformats.org/officeDocument/2006/relationships/hyperlink" Target="https://www.airbnb.com/rooms/1496405343001968622" TargetMode="External"/><Relationship Id="rId12" Type="http://schemas.openxmlformats.org/officeDocument/2006/relationships/hyperlink" Target="https://a0.muscache.com/im/pictures/prohost-api/Hosting-1496405343001968622/original/bb2e8c98-4f6f-49d4-afe7-0cfb23b88e0a.jpeg" TargetMode="External"/><Relationship Id="rId15" Type="http://schemas.openxmlformats.org/officeDocument/2006/relationships/hyperlink" Target="https://media.vrbo.com/lodging/92000000/91860000/91859900/91859830/3ccd6cb2.jpg?impolicy=resizecrop&amp;rw=1200&amp;ra=fit" TargetMode="External"/><Relationship Id="rId198" Type="http://schemas.openxmlformats.org/officeDocument/2006/relationships/hyperlink" Target="https://a0.muscache.com/im/pictures/miso/Hosting-785614566736575463/original/ccc2224c-f2f1-4fde-b384-38603cbddb26.jpeg" TargetMode="External"/><Relationship Id="rId14" Type="http://schemas.openxmlformats.org/officeDocument/2006/relationships/hyperlink" Target="https://lvrstays.com/book-now/" TargetMode="External"/><Relationship Id="rId197" Type="http://schemas.openxmlformats.org/officeDocument/2006/relationships/hyperlink" Target="https://www.airbnb.com/rooms/763034296118607538" TargetMode="External"/><Relationship Id="rId17" Type="http://schemas.openxmlformats.org/officeDocument/2006/relationships/hyperlink" Target="https://stayhozho.com/" TargetMode="External"/><Relationship Id="rId196" Type="http://schemas.openxmlformats.org/officeDocument/2006/relationships/hyperlink" Target="https://a0.muscache.com/im/pictures/prohost-api/Hosting-763034296118607538/original/59ade490-226f-4986-a07d-ae1d793a825d.jpeg" TargetMode="External"/><Relationship Id="rId16" Type="http://schemas.openxmlformats.org/officeDocument/2006/relationships/hyperlink" Target="https://www.vrbo.com/3293302" TargetMode="External"/><Relationship Id="rId195" Type="http://schemas.openxmlformats.org/officeDocument/2006/relationships/hyperlink" Target="https://www.airbnb.com/rooms/755820874037012535" TargetMode="External"/><Relationship Id="rId19" Type="http://schemas.openxmlformats.org/officeDocument/2006/relationships/hyperlink" Target="https://media.vrbo.com/lodging/119000000/118890000/118885700/118885611/e8391b1e.jpg?impolicy=resizecrop&amp;rw=1200&amp;ra=fit" TargetMode="External"/><Relationship Id="rId18" Type="http://schemas.openxmlformats.org/officeDocument/2006/relationships/hyperlink" Target="https://stayhozho.com/" TargetMode="External"/><Relationship Id="rId199" Type="http://schemas.openxmlformats.org/officeDocument/2006/relationships/hyperlink" Target="https://www.airbnb.com/rooms/785614566736575463" TargetMode="External"/><Relationship Id="rId84" Type="http://schemas.openxmlformats.org/officeDocument/2006/relationships/hyperlink" Target="https://www.holidayrental.com/contact/" TargetMode="External"/><Relationship Id="rId83" Type="http://schemas.openxmlformats.org/officeDocument/2006/relationships/hyperlink" Target="https://www.airbnb.com/rooms/39893220" TargetMode="External"/><Relationship Id="rId86" Type="http://schemas.openxmlformats.org/officeDocument/2006/relationships/hyperlink" Target="http://holidayrental.com" TargetMode="External"/><Relationship Id="rId85" Type="http://schemas.openxmlformats.org/officeDocument/2006/relationships/hyperlink" Target="https://www.holidayrental.com/" TargetMode="External"/><Relationship Id="rId88" Type="http://schemas.openxmlformats.org/officeDocument/2006/relationships/hyperlink" Target="https://a0.muscache.com/im/pictures/hosting/Hosting-U3RheVN1cHBseUxpc3Rpbmc6Mzk4OTMzMjE%3D/original/3f7023db-8750-4371-b0ca-c69aa863d14b.jpeg" TargetMode="External"/><Relationship Id="rId150" Type="http://schemas.openxmlformats.org/officeDocument/2006/relationships/hyperlink" Target="https://a0.muscache.com/im/pictures/07fdd71e-2337-4429-abe5-c774f5b0de98.jpg" TargetMode="External"/><Relationship Id="rId271" Type="http://schemas.openxmlformats.org/officeDocument/2006/relationships/hyperlink" Target="https://www.airbnb.com/rooms/1600126245444532540" TargetMode="External"/><Relationship Id="rId87" Type="http://schemas.openxmlformats.org/officeDocument/2006/relationships/hyperlink" Target="http://holidayrental.com" TargetMode="External"/><Relationship Id="rId270" Type="http://schemas.openxmlformats.org/officeDocument/2006/relationships/hyperlink" Target="https://a0.muscache.com/im/pictures/prohost-api/Hosting-1600126245444532540/original/624d771a-c5f2-4940-b281-ceb50c6435ba.jpeg" TargetMode="External"/><Relationship Id="rId89" Type="http://schemas.openxmlformats.org/officeDocument/2006/relationships/hyperlink" Target="https://www.airbnb.com/rooms/39893321" TargetMode="External"/><Relationship Id="rId80" Type="http://schemas.openxmlformats.org/officeDocument/2006/relationships/hyperlink" Target="http://holidayrental.com" TargetMode="External"/><Relationship Id="rId82" Type="http://schemas.openxmlformats.org/officeDocument/2006/relationships/hyperlink" Target="https://a0.muscache.com/im/pictures/hosting/Hosting-39893220/original/3eff5079-ea6f-41c7-9834-68f2135556cf.jpeg" TargetMode="External"/><Relationship Id="rId81" Type="http://schemas.openxmlformats.org/officeDocument/2006/relationships/hyperlink" Target="http://holidayrental.com" TargetMode="External"/><Relationship Id="rId1" Type="http://schemas.openxmlformats.org/officeDocument/2006/relationships/hyperlink" Target="https://media.vrbo.com/lodging/123000000/122060000/122059600/122059518/4606e402.jpg?impolicy=resizecrop&amp;rw=1200&amp;ra=fit" TargetMode="External"/><Relationship Id="rId2" Type="http://schemas.openxmlformats.org/officeDocument/2006/relationships/hyperlink" Target="https://www.vrbo.com/4912289" TargetMode="External"/><Relationship Id="rId3" Type="http://schemas.openxmlformats.org/officeDocument/2006/relationships/hyperlink" Target="https://lvrstays.com/" TargetMode="External"/><Relationship Id="rId149" Type="http://schemas.openxmlformats.org/officeDocument/2006/relationships/hyperlink" Target="https://www.airbnb.com/rooms/15820561" TargetMode="External"/><Relationship Id="rId4" Type="http://schemas.openxmlformats.org/officeDocument/2006/relationships/hyperlink" Target="https://lvrstays.com/" TargetMode="External"/><Relationship Id="rId148" Type="http://schemas.openxmlformats.org/officeDocument/2006/relationships/hyperlink" Target="https://a0.muscache.com/im/pictures/9c4469a4-b249-45a8-b6c7-660029df4d3e.jpg" TargetMode="External"/><Relationship Id="rId269" Type="http://schemas.openxmlformats.org/officeDocument/2006/relationships/hyperlink" Target="https://www.airbnb.com/rooms/1580042023712880768" TargetMode="External"/><Relationship Id="rId9" Type="http://schemas.openxmlformats.org/officeDocument/2006/relationships/hyperlink" Target="https://www.airbnb.com/rooms/37568848" TargetMode="External"/><Relationship Id="rId143" Type="http://schemas.openxmlformats.org/officeDocument/2006/relationships/hyperlink" Target="https://www.airbnb.com/rooms/14445177" TargetMode="External"/><Relationship Id="rId264" Type="http://schemas.openxmlformats.org/officeDocument/2006/relationships/hyperlink" Target="https://a0.muscache.com/im/pictures/prohost-api/Hosting-1550283602874908175/original/6967f5f5-9530-45b7-8cd1-960c875c52f0.jpeg" TargetMode="External"/><Relationship Id="rId142" Type="http://schemas.openxmlformats.org/officeDocument/2006/relationships/hyperlink" Target="https://a0.muscache.com/im/pictures/miso/Hosting-14445177/original/121642d6-8911-46d0-b5f1-d790d1337fdc.jpeg" TargetMode="External"/><Relationship Id="rId263" Type="http://schemas.openxmlformats.org/officeDocument/2006/relationships/hyperlink" Target="https://www.airbnb.com/rooms/1548884418977602060" TargetMode="External"/><Relationship Id="rId141" Type="http://schemas.openxmlformats.org/officeDocument/2006/relationships/hyperlink" Target="https://www.airbnb.com/rooms/13149139" TargetMode="External"/><Relationship Id="rId262" Type="http://schemas.openxmlformats.org/officeDocument/2006/relationships/hyperlink" Target="https://a0.muscache.com/im/pictures/hosting/Hosting-1548884418977602060/original/8c948535-0119-4aa2-9884-0455abcafc3e.png" TargetMode="External"/><Relationship Id="rId140" Type="http://schemas.openxmlformats.org/officeDocument/2006/relationships/hyperlink" Target="https://a0.muscache.com/im/pictures/ee15f475-a920-4e19-9ae1-c2edc6b3dd89.jpg" TargetMode="External"/><Relationship Id="rId261" Type="http://schemas.openxmlformats.org/officeDocument/2006/relationships/hyperlink" Target="https://www.airbnb.com/rooms/1534142511199506165" TargetMode="External"/><Relationship Id="rId5" Type="http://schemas.openxmlformats.org/officeDocument/2006/relationships/hyperlink" Target="https://a0.muscache.com/im/pictures/hosting/Hosting-16450639/original/daf45076-468e-4ec8-96dc-ceee006c7ecf.jpeg" TargetMode="External"/><Relationship Id="rId147" Type="http://schemas.openxmlformats.org/officeDocument/2006/relationships/hyperlink" Target="https://www.airbnb.com/rooms/15059264" TargetMode="External"/><Relationship Id="rId268" Type="http://schemas.openxmlformats.org/officeDocument/2006/relationships/hyperlink" Target="https://a0.muscache.com/im/pictures/hosting/Hosting-1580042023712880768/original/9b43fc79-dddd-4c1d-8a88-45491a700e67.jpeg" TargetMode="External"/><Relationship Id="rId6" Type="http://schemas.openxmlformats.org/officeDocument/2006/relationships/hyperlink" Target="https://www.airbnb.com/rooms/16450639" TargetMode="External"/><Relationship Id="rId146" Type="http://schemas.openxmlformats.org/officeDocument/2006/relationships/hyperlink" Target="https://a0.muscache.com/im/pictures/miso/Hosting-15059264/original/6fd2cd8d-6653-4aca-8c21-490dd0f1ef44.jpeg" TargetMode="External"/><Relationship Id="rId267" Type="http://schemas.openxmlformats.org/officeDocument/2006/relationships/hyperlink" Target="https://www.airbnb.com/rooms/1565568181308368429" TargetMode="External"/><Relationship Id="rId7" Type="http://schemas.openxmlformats.org/officeDocument/2006/relationships/hyperlink" Target="https://lvrstays.com/" TargetMode="External"/><Relationship Id="rId145" Type="http://schemas.openxmlformats.org/officeDocument/2006/relationships/hyperlink" Target="https://www.airbnb.com/rooms/14448956" TargetMode="External"/><Relationship Id="rId266" Type="http://schemas.openxmlformats.org/officeDocument/2006/relationships/hyperlink" Target="https://a0.muscache.com/im/pictures/hosting/Hosting-1565568181308368429/original/f75b9440-d56b-42e8-be60-da67b7f154a6.jpeg" TargetMode="External"/><Relationship Id="rId8" Type="http://schemas.openxmlformats.org/officeDocument/2006/relationships/hyperlink" Target="https://a0.muscache.com/im/pictures/hosting/Hosting-37568848/original/bcd77b04-851c-41bd-8805-8efffed7d205.jpeg" TargetMode="External"/><Relationship Id="rId144" Type="http://schemas.openxmlformats.org/officeDocument/2006/relationships/hyperlink" Target="https://a0.muscache.com/im/pictures/hosting/Hosting-U3RheVN1cHBseUxpc3Rpbmc6MTQ0NDg5NTY%3D/original/9f7b1646-91e0-4d73-81d5-4b29e16ecc28.jpeg" TargetMode="External"/><Relationship Id="rId265" Type="http://schemas.openxmlformats.org/officeDocument/2006/relationships/hyperlink" Target="https://www.airbnb.com/rooms/1550283602874908175" TargetMode="External"/><Relationship Id="rId73" Type="http://schemas.openxmlformats.org/officeDocument/2006/relationships/hyperlink" Target="https://www.resortstyle.com/listings/186372" TargetMode="External"/><Relationship Id="rId72" Type="http://schemas.openxmlformats.org/officeDocument/2006/relationships/hyperlink" Target="https://www.vrbo.com/3501002ha" TargetMode="External"/><Relationship Id="rId75" Type="http://schemas.openxmlformats.org/officeDocument/2006/relationships/hyperlink" Target="http://holidayrental.com" TargetMode="External"/><Relationship Id="rId74" Type="http://schemas.openxmlformats.org/officeDocument/2006/relationships/hyperlink" Target="http://holidayrental.com" TargetMode="External"/><Relationship Id="rId77" Type="http://schemas.openxmlformats.org/officeDocument/2006/relationships/hyperlink" Target="https://www.vrbo.com/2417716" TargetMode="External"/><Relationship Id="rId260" Type="http://schemas.openxmlformats.org/officeDocument/2006/relationships/hyperlink" Target="https://a0.muscache.com/im/pictures/hosting/Hosting-1534142511199506165/original/b50bcf54-163e-48f4-a1b6-5850c197cdab.jpeg" TargetMode="External"/><Relationship Id="rId76" Type="http://schemas.openxmlformats.org/officeDocument/2006/relationships/hyperlink" Target="https://media.vrbo.com/lodging/71000000/70150000/70144700/70144660/db90670d.jpg?impolicy=resizecrop&amp;rw=1200&amp;ra=fit" TargetMode="External"/><Relationship Id="rId79" Type="http://schemas.openxmlformats.org/officeDocument/2006/relationships/hyperlink" Target="https://www.holidayrental.com/" TargetMode="External"/><Relationship Id="rId78" Type="http://schemas.openxmlformats.org/officeDocument/2006/relationships/hyperlink" Target="https://www.holidayrental.com/contact/" TargetMode="External"/><Relationship Id="rId71" Type="http://schemas.openxmlformats.org/officeDocument/2006/relationships/hyperlink" Target="https://media.vrbo.com/lodging/20000000/19820000/19813300/19813288/eb1a5c12.jpg?impolicy=resizecrop&amp;rw=1200&amp;ra=fit" TargetMode="External"/><Relationship Id="rId70" Type="http://schemas.openxmlformats.org/officeDocument/2006/relationships/hyperlink" Target="https://www.resortstyle.com/listings/186370" TargetMode="External"/><Relationship Id="rId139" Type="http://schemas.openxmlformats.org/officeDocument/2006/relationships/hyperlink" Target="https://www.vrbo.com/2654160" TargetMode="External"/><Relationship Id="rId138" Type="http://schemas.openxmlformats.org/officeDocument/2006/relationships/hyperlink" Target="https://media.vrbo.com/lodging/76000000/75200000/75191100/75191030/9bccdc99.jpg?impolicy=resizecrop&amp;rw=1200&amp;ra=fit" TargetMode="External"/><Relationship Id="rId259" Type="http://schemas.openxmlformats.org/officeDocument/2006/relationships/hyperlink" Target="https://www.airbnb.com/rooms/1461902864732258855" TargetMode="External"/><Relationship Id="rId137" Type="http://schemas.openxmlformats.org/officeDocument/2006/relationships/hyperlink" Target="https://woodennickelcabins.com/" TargetMode="External"/><Relationship Id="rId258" Type="http://schemas.openxmlformats.org/officeDocument/2006/relationships/hyperlink" Target="https://a0.muscache.com/im/pictures/miso/Hosting-1461902864732258855/original/3068190c-2ac2-478e-b26e-ca238c23c7d9.jpeg" TargetMode="External"/><Relationship Id="rId132" Type="http://schemas.openxmlformats.org/officeDocument/2006/relationships/hyperlink" Target="https://media.vrbo.com/lodging/65000000/64910000/64903000/64902926/da461f6a.jpg?impolicy=resizecrop&amp;rw=1200&amp;ra=fit" TargetMode="External"/><Relationship Id="rId253" Type="http://schemas.openxmlformats.org/officeDocument/2006/relationships/hyperlink" Target="https://www.airbnb.com/rooms/1371285680815890803" TargetMode="External"/><Relationship Id="rId131" Type="http://schemas.openxmlformats.org/officeDocument/2006/relationships/hyperlink" Target="https://www.luxxhomevacations.com/" TargetMode="External"/><Relationship Id="rId252" Type="http://schemas.openxmlformats.org/officeDocument/2006/relationships/hyperlink" Target="https://a0.muscache.com/im/pictures/prohost-api/Hosting-1371285680815890803/original/cda27521-84ad-438e-8596-3a34ff54fe56.jpeg" TargetMode="External"/><Relationship Id="rId130" Type="http://schemas.openxmlformats.org/officeDocument/2006/relationships/hyperlink" Target="https://www.airbnb.com/rooms/563978014938460765" TargetMode="External"/><Relationship Id="rId251" Type="http://schemas.openxmlformats.org/officeDocument/2006/relationships/hyperlink" Target="https://www.airbnb.com/rooms/1353919194026569025" TargetMode="External"/><Relationship Id="rId250" Type="http://schemas.openxmlformats.org/officeDocument/2006/relationships/hyperlink" Target="https://a0.muscache.com/im/pictures/prohost-api/Hosting-1353919194026569025/original/eec6c263-514b-450d-898b-ee0e4296c25b.jpeg" TargetMode="External"/><Relationship Id="rId136" Type="http://schemas.openxmlformats.org/officeDocument/2006/relationships/hyperlink" Target="https://www.airbnb.com/rooms/48317305" TargetMode="External"/><Relationship Id="rId257" Type="http://schemas.openxmlformats.org/officeDocument/2006/relationships/hyperlink" Target="https://www.airbnb.com/rooms/1436609231195398676" TargetMode="External"/><Relationship Id="rId135" Type="http://schemas.openxmlformats.org/officeDocument/2006/relationships/hyperlink" Target="https://a0.muscache.com/im/pictures/prohost-api/Hosting-48317305/original/6b3b6f46-e410-4787-8cb2-2f4305e8ddda.png" TargetMode="External"/><Relationship Id="rId256" Type="http://schemas.openxmlformats.org/officeDocument/2006/relationships/hyperlink" Target="https://a0.muscache.com/im/pictures/prohost-api/Hosting-1436609231195398676/original/36877252-51ae-4ed0-b417-733d0a1288b6.jpeg" TargetMode="External"/><Relationship Id="rId134" Type="http://schemas.openxmlformats.org/officeDocument/2006/relationships/hyperlink" Target="https://woodennickelcabins.com/" TargetMode="External"/><Relationship Id="rId255" Type="http://schemas.openxmlformats.org/officeDocument/2006/relationships/hyperlink" Target="https://www.airbnb.com/rooms/1390643911852394476" TargetMode="External"/><Relationship Id="rId133" Type="http://schemas.openxmlformats.org/officeDocument/2006/relationships/hyperlink" Target="https://www.vrbo.com/2218327" TargetMode="External"/><Relationship Id="rId254" Type="http://schemas.openxmlformats.org/officeDocument/2006/relationships/hyperlink" Target="https://a0.muscache.com/im/pictures/miso/Hosting-1390643911852394476/original/356ed5a2-f726-4a03-9947-5a504d968f29.jpeg" TargetMode="External"/><Relationship Id="rId62" Type="http://schemas.openxmlformats.org/officeDocument/2006/relationships/hyperlink" Target="https://a0.muscache.com/im/pictures/miso/Hosting-777608472875567200/original/c6284a6f-d646-426b-8efa-1f9b4310caaa.jpeg" TargetMode="External"/><Relationship Id="rId61" Type="http://schemas.openxmlformats.org/officeDocument/2006/relationships/hyperlink" Target="https://www.theaeriecollection.com/" TargetMode="External"/><Relationship Id="rId64" Type="http://schemas.openxmlformats.org/officeDocument/2006/relationships/hyperlink" Target="https://www.theaeriecollection.com/scottsdale-properties" TargetMode="External"/><Relationship Id="rId63" Type="http://schemas.openxmlformats.org/officeDocument/2006/relationships/hyperlink" Target="https://www.airbnb.com/rooms/777608472875567200" TargetMode="External"/><Relationship Id="rId66" Type="http://schemas.openxmlformats.org/officeDocument/2006/relationships/hyperlink" Target="https://www.airbnb.com/rooms/778286857772699369" TargetMode="External"/><Relationship Id="rId172" Type="http://schemas.openxmlformats.org/officeDocument/2006/relationships/hyperlink" Target="https://a0.muscache.com/im/pictures/miso/Hosting-53403710/original/5b058adf-9f7b-4a45-97f7-ae07cfb9ddaa.jpeg" TargetMode="External"/><Relationship Id="rId65" Type="http://schemas.openxmlformats.org/officeDocument/2006/relationships/hyperlink" Target="https://a0.muscache.com/im/pictures/miso/Hosting-776835358952485962/original/4b854fc7-0ea3-41e0-a88f-1eb1d6caa55e.jpeg" TargetMode="External"/><Relationship Id="rId171" Type="http://schemas.openxmlformats.org/officeDocument/2006/relationships/hyperlink" Target="https://www.airbnb.com/rooms/53295598" TargetMode="External"/><Relationship Id="rId68" Type="http://schemas.openxmlformats.org/officeDocument/2006/relationships/hyperlink" Target="https://a0.muscache.com/im/pictures/74afb99a-eb5f-4aa0-85b8-37dcb24a5c15.jpg" TargetMode="External"/><Relationship Id="rId170" Type="http://schemas.openxmlformats.org/officeDocument/2006/relationships/hyperlink" Target="https://a0.muscache.com/im/pictures/miso/Hosting-53295598/original/dbc4a422-53b2-4e30-a6e3-4ae390e31bd8.jpeg" TargetMode="External"/><Relationship Id="rId67" Type="http://schemas.openxmlformats.org/officeDocument/2006/relationships/hyperlink" Target="https://www.theaeriecollection.com/scottsdale-properties" TargetMode="External"/><Relationship Id="rId60" Type="http://schemas.openxmlformats.org/officeDocument/2006/relationships/hyperlink" Target="https://www.airbnb.com/rooms/666614248087575597" TargetMode="External"/><Relationship Id="rId165" Type="http://schemas.openxmlformats.org/officeDocument/2006/relationships/hyperlink" Target="https://www.airbnb.com/rooms/47911878" TargetMode="External"/><Relationship Id="rId69" Type="http://schemas.openxmlformats.org/officeDocument/2006/relationships/hyperlink" Target="https://www.airbnb.com/rooms/38406831" TargetMode="External"/><Relationship Id="rId164" Type="http://schemas.openxmlformats.org/officeDocument/2006/relationships/hyperlink" Target="https://a0.muscache.com/im/pictures/miso/Hosting-47911878/original/1eab8f4e-f1fe-4959-bdb0-fb54e7520a5e.jpeg" TargetMode="External"/><Relationship Id="rId163" Type="http://schemas.openxmlformats.org/officeDocument/2006/relationships/hyperlink" Target="https://www.airbnb.com/rooms/46854293" TargetMode="External"/><Relationship Id="rId162" Type="http://schemas.openxmlformats.org/officeDocument/2006/relationships/hyperlink" Target="https://a0.muscache.com/im/pictures/b5baec4b-abcf-45aa-9a63-edfb7b245604.jpg" TargetMode="External"/><Relationship Id="rId169" Type="http://schemas.openxmlformats.org/officeDocument/2006/relationships/hyperlink" Target="https://www.airbnb.com/rooms/51930360" TargetMode="External"/><Relationship Id="rId168" Type="http://schemas.openxmlformats.org/officeDocument/2006/relationships/hyperlink" Target="https://a0.muscache.com/im/pictures/prohost-api/Hosting-51930360/original/9f0f202a-8f6e-4fa3-80a1-f30c753b2681.jpeg" TargetMode="External"/><Relationship Id="rId167" Type="http://schemas.openxmlformats.org/officeDocument/2006/relationships/hyperlink" Target="https://www.airbnb.com/rooms/51520493" TargetMode="External"/><Relationship Id="rId166" Type="http://schemas.openxmlformats.org/officeDocument/2006/relationships/hyperlink" Target="https://a0.muscache.com/im/pictures/miso/Hosting-51520493/original/01616304-1c9a-4b1f-953e-b9cc7a6a533c.jpeg" TargetMode="External"/><Relationship Id="rId51" Type="http://schemas.openxmlformats.org/officeDocument/2006/relationships/hyperlink" Target="https://www.airbnb.com/rooms/50933917" TargetMode="External"/><Relationship Id="rId50" Type="http://schemas.openxmlformats.org/officeDocument/2006/relationships/hyperlink" Target="https://a0.muscache.com/im/pictures/miso/Hosting-50933917/original/80e65ab5-f925-41c0-bdc9-8803e51cbb29.jpeg" TargetMode="External"/><Relationship Id="rId53" Type="http://schemas.openxmlformats.org/officeDocument/2006/relationships/hyperlink" Target="https://a0.muscache.com/im/pictures/miso/Hosting-52513449/original/8c4f4c2c-9783-48f2-8d21-69aec8093dea.jpeg" TargetMode="External"/><Relationship Id="rId52" Type="http://schemas.openxmlformats.org/officeDocument/2006/relationships/hyperlink" Target="https://www.theaeriecollection.com/" TargetMode="External"/><Relationship Id="rId55" Type="http://schemas.openxmlformats.org/officeDocument/2006/relationships/hyperlink" Target="https://www.theaeriecollection.com/" TargetMode="External"/><Relationship Id="rId161" Type="http://schemas.openxmlformats.org/officeDocument/2006/relationships/hyperlink" Target="https://www.airbnb.com/rooms/46641901" TargetMode="External"/><Relationship Id="rId54" Type="http://schemas.openxmlformats.org/officeDocument/2006/relationships/hyperlink" Target="https://www.airbnb.com/rooms/52513449" TargetMode="External"/><Relationship Id="rId160" Type="http://schemas.openxmlformats.org/officeDocument/2006/relationships/hyperlink" Target="https://a0.muscache.com/im/pictures/miso/Hosting-46641901/original/98269771-b963-4698-b57d-8606343a9ae7.jpeg" TargetMode="External"/><Relationship Id="rId57" Type="http://schemas.openxmlformats.org/officeDocument/2006/relationships/hyperlink" Target="https://www.airbnb.com/rooms/619678046828836910" TargetMode="External"/><Relationship Id="rId56" Type="http://schemas.openxmlformats.org/officeDocument/2006/relationships/hyperlink" Target="https://a0.muscache.com/im/pictures/miso/Hosting-619678046828836910/original/37579a74-d667-4c86-ba52-e61ea96d5031.jpeg" TargetMode="External"/><Relationship Id="rId159" Type="http://schemas.openxmlformats.org/officeDocument/2006/relationships/hyperlink" Target="https://www.airbnb.com/rooms/46093049" TargetMode="External"/><Relationship Id="rId59" Type="http://schemas.openxmlformats.org/officeDocument/2006/relationships/hyperlink" Target="https://a0.muscache.com/im/pictures/miso/Hosting-666614248087575597/original/d5724452-efbb-4f68-adf2-ddcd6c3f9d4c.jpeg" TargetMode="External"/><Relationship Id="rId154" Type="http://schemas.openxmlformats.org/officeDocument/2006/relationships/hyperlink" Target="https://a0.muscache.com/im/pictures/prohost-api/Hosting-39553376/original/06e5468f-b930-45b1-b8a2-a3d2e476332f.jpeg" TargetMode="External"/><Relationship Id="rId58" Type="http://schemas.openxmlformats.org/officeDocument/2006/relationships/hyperlink" Target="https://www.theaeriecollection.com/" TargetMode="External"/><Relationship Id="rId153" Type="http://schemas.openxmlformats.org/officeDocument/2006/relationships/hyperlink" Target="https://www.airbnb.com/rooms/38241569" TargetMode="External"/><Relationship Id="rId274" Type="http://schemas.openxmlformats.org/officeDocument/2006/relationships/drawing" Target="../drawings/drawing1.xml"/><Relationship Id="rId152" Type="http://schemas.openxmlformats.org/officeDocument/2006/relationships/hyperlink" Target="https://a0.muscache.com/im/pictures/35725519-9bf4-4f24-b93f-0f16dace97dc.jpg" TargetMode="External"/><Relationship Id="rId273" Type="http://schemas.openxmlformats.org/officeDocument/2006/relationships/hyperlink" Target="https://www.vrbo.com/4838935ha" TargetMode="External"/><Relationship Id="rId151" Type="http://schemas.openxmlformats.org/officeDocument/2006/relationships/hyperlink" Target="https://www.airbnb.com/rooms/20650707" TargetMode="External"/><Relationship Id="rId272" Type="http://schemas.openxmlformats.org/officeDocument/2006/relationships/hyperlink" Target="https://media.vrbo.com/lodging/46000000/45190000/45185300/45185260/930db425.jpg?impolicy=resizecrop&amp;rw=1200&amp;ra=fit" TargetMode="External"/><Relationship Id="rId158" Type="http://schemas.openxmlformats.org/officeDocument/2006/relationships/hyperlink" Target="https://a0.muscache.com/im/pictures/435f7cff-07e6-468e-986d-44d8cc217b59.jpg" TargetMode="External"/><Relationship Id="rId157" Type="http://schemas.openxmlformats.org/officeDocument/2006/relationships/hyperlink" Target="https://www.airbnb.com/rooms/41090061" TargetMode="External"/><Relationship Id="rId156" Type="http://schemas.openxmlformats.org/officeDocument/2006/relationships/hyperlink" Target="https://a0.muscache.com/im/pictures/81e63203-9a78-4eb6-a2e2-c149e6c9e0f6.jpg" TargetMode="External"/><Relationship Id="rId155" Type="http://schemas.openxmlformats.org/officeDocument/2006/relationships/hyperlink" Target="https://www.airbnb.com/rooms/39553376" TargetMode="External"/><Relationship Id="rId107" Type="http://schemas.openxmlformats.org/officeDocument/2006/relationships/hyperlink" Target="https://www.holidayrental.com/contact/" TargetMode="External"/><Relationship Id="rId228" Type="http://schemas.openxmlformats.org/officeDocument/2006/relationships/hyperlink" Target="https://a0.muscache.com/im/pictures/prohost-api/Hosting-1183852806011068462/original/c40ba838-fca4-41da-963d-3a66a20106fc.jpeg" TargetMode="External"/><Relationship Id="rId106" Type="http://schemas.openxmlformats.org/officeDocument/2006/relationships/hyperlink" Target="https://www.airbnb.com/rooms/759481444833195113" TargetMode="External"/><Relationship Id="rId227" Type="http://schemas.openxmlformats.org/officeDocument/2006/relationships/hyperlink" Target="https://www.airbnb.com/rooms/1169747159491685881" TargetMode="External"/><Relationship Id="rId105" Type="http://schemas.openxmlformats.org/officeDocument/2006/relationships/hyperlink" Target="https://a0.muscache.com/im/pictures/hosting/Hosting-759481444833195113/original/15ec454c-8f38-4bfb-88ce-dc76650fbe20.jpeg" TargetMode="External"/><Relationship Id="rId226" Type="http://schemas.openxmlformats.org/officeDocument/2006/relationships/hyperlink" Target="https://a0.muscache.com/im/pictures/miso/Hosting-1169747159491685881/original/55e26097-cb03-474f-9e0d-ad7145294f1e.jpeg" TargetMode="External"/><Relationship Id="rId104" Type="http://schemas.openxmlformats.org/officeDocument/2006/relationships/hyperlink" Target="http://holidayrental.com" TargetMode="External"/><Relationship Id="rId225" Type="http://schemas.openxmlformats.org/officeDocument/2006/relationships/hyperlink" Target="https://www.airbnb.com/rooms/1147282516982245875" TargetMode="External"/><Relationship Id="rId109" Type="http://schemas.openxmlformats.org/officeDocument/2006/relationships/hyperlink" Target="http://holidayrental.com" TargetMode="External"/><Relationship Id="rId108" Type="http://schemas.openxmlformats.org/officeDocument/2006/relationships/hyperlink" Target="https://www.holidayrental.com/" TargetMode="External"/><Relationship Id="rId229" Type="http://schemas.openxmlformats.org/officeDocument/2006/relationships/hyperlink" Target="https://www.airbnb.com/rooms/1183852806011068462" TargetMode="External"/><Relationship Id="rId220" Type="http://schemas.openxmlformats.org/officeDocument/2006/relationships/hyperlink" Target="https://a0.muscache.com/im/pictures/miso/Hosting-1077813310260513265/original/123122b6-3b05-41bc-abb0-db4ae36dad8b.jpeg" TargetMode="External"/><Relationship Id="rId103" Type="http://schemas.openxmlformats.org/officeDocument/2006/relationships/hyperlink" Target="http://holidayrental.com" TargetMode="External"/><Relationship Id="rId224" Type="http://schemas.openxmlformats.org/officeDocument/2006/relationships/hyperlink" Target="https://a0.muscache.com/im/pictures/hosting/Hosting-U3RheVN1cHBseUxpc3Rpbmc6MTE0NzI4MjUxNjk4MjI0NTg3NQ%3D%3D/original/925e4eab-97f4-4ce1-a9f5-e52303bb7cf2.jpeg" TargetMode="External"/><Relationship Id="rId102" Type="http://schemas.openxmlformats.org/officeDocument/2006/relationships/hyperlink" Target="https://www.holidayrental.com/" TargetMode="External"/><Relationship Id="rId223" Type="http://schemas.openxmlformats.org/officeDocument/2006/relationships/hyperlink" Target="https://www.airbnb.com/rooms/1115368828074908781" TargetMode="External"/><Relationship Id="rId101" Type="http://schemas.openxmlformats.org/officeDocument/2006/relationships/hyperlink" Target="https://www.holidayrental.com/contact/" TargetMode="External"/><Relationship Id="rId222" Type="http://schemas.openxmlformats.org/officeDocument/2006/relationships/hyperlink" Target="https://a0.muscache.com/im/pictures/prohost-api/Hosting-1115368828074908781/original/b7c308da-66db-49dc-83a3-825a68082e81.jpeg" TargetMode="External"/><Relationship Id="rId100" Type="http://schemas.openxmlformats.org/officeDocument/2006/relationships/hyperlink" Target="https://www.airbnb.com/rooms/750851068479344247" TargetMode="External"/><Relationship Id="rId221" Type="http://schemas.openxmlformats.org/officeDocument/2006/relationships/hyperlink" Target="https://www.airbnb.com/rooms/1077813310260513265" TargetMode="External"/><Relationship Id="rId217" Type="http://schemas.openxmlformats.org/officeDocument/2006/relationships/hyperlink" Target="https://www.airbnb.com/rooms/1009503596567019771" TargetMode="External"/><Relationship Id="rId216" Type="http://schemas.openxmlformats.org/officeDocument/2006/relationships/hyperlink" Target="https://a0.muscache.com/im/pictures/miso/Hosting-1009503596567019771/original/2ce26bc5-0a35-482b-875e-58d28417b559.jpeg" TargetMode="External"/><Relationship Id="rId215" Type="http://schemas.openxmlformats.org/officeDocument/2006/relationships/hyperlink" Target="https://www.airbnb.com/rooms/969551303883070613" TargetMode="External"/><Relationship Id="rId214" Type="http://schemas.openxmlformats.org/officeDocument/2006/relationships/hyperlink" Target="https://a0.muscache.com/im/pictures/hosting/Hosting-969551303883070613/original/22c8d84f-95ef-4029-ac5b-591b7c435980.jpeg" TargetMode="External"/><Relationship Id="rId219" Type="http://schemas.openxmlformats.org/officeDocument/2006/relationships/hyperlink" Target="https://www.airbnb.com/rooms/1029949376513853647" TargetMode="External"/><Relationship Id="rId218" Type="http://schemas.openxmlformats.org/officeDocument/2006/relationships/hyperlink" Target="https://a0.muscache.com/im/pictures/miso/Hosting-1029949376513853647/original/09e7a731-f550-467a-949c-031624f52223.jpeg" TargetMode="External"/><Relationship Id="rId213" Type="http://schemas.openxmlformats.org/officeDocument/2006/relationships/hyperlink" Target="https://www.airbnb.com/rooms/967509826217894978" TargetMode="External"/><Relationship Id="rId212" Type="http://schemas.openxmlformats.org/officeDocument/2006/relationships/hyperlink" Target="https://a0.muscache.com/im/pictures/hosting/Hosting-U3RheVN1cHBseUxpc3Rpbmc6OTY3NTA5ODI2MjE3ODk0OTc4/original/307490ea-c4f0-4c3a-a10e-2ab970d6bd9c.jpeg" TargetMode="External"/><Relationship Id="rId211" Type="http://schemas.openxmlformats.org/officeDocument/2006/relationships/hyperlink" Target="https://www.airbnb.com/rooms/955286605424179513" TargetMode="External"/><Relationship Id="rId210" Type="http://schemas.openxmlformats.org/officeDocument/2006/relationships/hyperlink" Target="https://a0.muscache.com/im/pictures/miso/Hosting-955286605424179513/original/c1f0afc5-0846-4e49-94cf-d8f63cdded2e.jpeg" TargetMode="External"/><Relationship Id="rId129" Type="http://schemas.openxmlformats.org/officeDocument/2006/relationships/hyperlink" Target="https://a0.muscache.com/im/pictures/miso/Hosting-563978014938460765/original/a7c2a694-41c7-43d8-9a93-240843798ebc.jpeg" TargetMode="External"/><Relationship Id="rId128" Type="http://schemas.openxmlformats.org/officeDocument/2006/relationships/hyperlink" Target="https://www.luxxhomevacations.com/listing?a=50745866" TargetMode="External"/><Relationship Id="rId249" Type="http://schemas.openxmlformats.org/officeDocument/2006/relationships/hyperlink" Target="https://www.airbnb.com/rooms/1342436588176503315" TargetMode="External"/><Relationship Id="rId127" Type="http://schemas.openxmlformats.org/officeDocument/2006/relationships/hyperlink" Target="https://www.airbnb.com/rooms/50745866" TargetMode="External"/><Relationship Id="rId248" Type="http://schemas.openxmlformats.org/officeDocument/2006/relationships/hyperlink" Target="https://a0.muscache.com/im/pictures/miso/Hosting-1342436588176503315/original/3434b2da-ed81-4e1a-badd-a949e1339241.jpeg" TargetMode="External"/><Relationship Id="rId126" Type="http://schemas.openxmlformats.org/officeDocument/2006/relationships/hyperlink" Target="https://a0.muscache.com/im/pictures/miso/Hosting-50745866/original/2c4cbf5b-c5f3-4cef-bb57-5f9630addfb8.jpeg" TargetMode="External"/><Relationship Id="rId247" Type="http://schemas.openxmlformats.org/officeDocument/2006/relationships/hyperlink" Target="https://www.airbnb.com/rooms/1339242627641411557" TargetMode="External"/><Relationship Id="rId121" Type="http://schemas.openxmlformats.org/officeDocument/2006/relationships/hyperlink" Target="https://www.vrbo.com/4519123" TargetMode="External"/><Relationship Id="rId242" Type="http://schemas.openxmlformats.org/officeDocument/2006/relationships/hyperlink" Target="https://a0.muscache.com/im/pictures/hosting/Hosting-1324036086365947403/original/c50c1078-3345-4e5b-9c3a-0adcb5efc788.jpeg" TargetMode="External"/><Relationship Id="rId120" Type="http://schemas.openxmlformats.org/officeDocument/2006/relationships/hyperlink" Target="https://media.vrbo.com/lodging/115000000/114600000/114594600/114594563/e92dc45b.jpg?impolicy=resizecrop&amp;rw=1200&amp;ra=fit" TargetMode="External"/><Relationship Id="rId241" Type="http://schemas.openxmlformats.org/officeDocument/2006/relationships/hyperlink" Target="https://www.airbnb.com/rooms/1319680092212909861" TargetMode="External"/><Relationship Id="rId240" Type="http://schemas.openxmlformats.org/officeDocument/2006/relationships/hyperlink" Target="https://a0.muscache.com/im/pictures/hosting/Hosting-U3RheVN1cHBseUxpc3Rpbmc6MTMxOTY4MDA5MjIxMjkwOTg2MQ%3D%3D/original/93a867bf-2541-43f5-aab3-17b6c958d8b2.jpeg" TargetMode="External"/><Relationship Id="rId125" Type="http://schemas.openxmlformats.org/officeDocument/2006/relationships/hyperlink" Target="https://www.luxxhomevacations.com/" TargetMode="External"/><Relationship Id="rId246" Type="http://schemas.openxmlformats.org/officeDocument/2006/relationships/hyperlink" Target="https://a0.muscache.com/im/pictures/miso/Hosting-1339242627641411557/original/a823634d-c778-4227-a5d2-945a735fae8e.jpeg" TargetMode="External"/><Relationship Id="rId124" Type="http://schemas.openxmlformats.org/officeDocument/2006/relationships/hyperlink" Target="https://www.vrbo.com/2563495" TargetMode="External"/><Relationship Id="rId245" Type="http://schemas.openxmlformats.org/officeDocument/2006/relationships/hyperlink" Target="https://www.airbnb.com/rooms/1324036086365947403" TargetMode="External"/><Relationship Id="rId123" Type="http://schemas.openxmlformats.org/officeDocument/2006/relationships/hyperlink" Target="https://media.vrbo.com/lodging/74000000/73280000/73273100/73273068/11741500.jpg?impolicy=resizecrop&amp;rw=1200&amp;ra=fit" TargetMode="External"/><Relationship Id="rId244" Type="http://schemas.openxmlformats.org/officeDocument/2006/relationships/hyperlink" Target="https://a0.muscache.com/im/pictures/hosting/Hosting-1324036086365947403/original/c50c1078-3345-4e5b-9c3a-0adcb5efc788.jpeg" TargetMode="External"/><Relationship Id="rId122" Type="http://schemas.openxmlformats.org/officeDocument/2006/relationships/hyperlink" Target="https://www.gatheringtree.com/the-conservatory-at-brick-beam-orp5b6d6a1x" TargetMode="External"/><Relationship Id="rId243" Type="http://schemas.openxmlformats.org/officeDocument/2006/relationships/hyperlink" Target="https://www.airbnb.com/rooms/1324036086365947403" TargetMode="External"/><Relationship Id="rId95" Type="http://schemas.openxmlformats.org/officeDocument/2006/relationships/hyperlink" Target="https://www.airbnb.com/rooms/52243423" TargetMode="External"/><Relationship Id="rId94" Type="http://schemas.openxmlformats.org/officeDocument/2006/relationships/hyperlink" Target="https://a0.muscache.com/im/pictures/hosting/Hosting-52243423/original/775452d8-feed-4904-9779-a49ab6a7e53e.jpeg" TargetMode="External"/><Relationship Id="rId97" Type="http://schemas.openxmlformats.org/officeDocument/2006/relationships/hyperlink" Target="https://www.holidayrental.com/" TargetMode="External"/><Relationship Id="rId96" Type="http://schemas.openxmlformats.org/officeDocument/2006/relationships/hyperlink" Target="https://www.holidayrental.com/contact/" TargetMode="External"/><Relationship Id="rId99" Type="http://schemas.openxmlformats.org/officeDocument/2006/relationships/hyperlink" Target="https://a0.muscache.com/im/pictures/prohost-api/Hosting-750851068479344247/original/72e9cf18-7b9c-4862-a7b7-88a4dc7812bc.jpeg" TargetMode="External"/><Relationship Id="rId98" Type="http://schemas.openxmlformats.org/officeDocument/2006/relationships/hyperlink" Target="http://holidayrental.com" TargetMode="External"/><Relationship Id="rId91" Type="http://schemas.openxmlformats.org/officeDocument/2006/relationships/hyperlink" Target="https://www.holidayrental.com/" TargetMode="External"/><Relationship Id="rId90" Type="http://schemas.openxmlformats.org/officeDocument/2006/relationships/hyperlink" Target="https://www.holidayrental.com/contact/" TargetMode="External"/><Relationship Id="rId93" Type="http://schemas.openxmlformats.org/officeDocument/2006/relationships/hyperlink" Target="http://holidayrental.com" TargetMode="External"/><Relationship Id="rId92" Type="http://schemas.openxmlformats.org/officeDocument/2006/relationships/hyperlink" Target="http://holidayrental.com" TargetMode="External"/><Relationship Id="rId118" Type="http://schemas.openxmlformats.org/officeDocument/2006/relationships/hyperlink" Target="https://www.holidayrental.com/contact/" TargetMode="External"/><Relationship Id="rId239" Type="http://schemas.openxmlformats.org/officeDocument/2006/relationships/hyperlink" Target="https://www.airbnb.com/rooms/1314575510263216526" TargetMode="External"/><Relationship Id="rId117" Type="http://schemas.openxmlformats.org/officeDocument/2006/relationships/hyperlink" Target="https://www.airbnb.com/rooms/1354532747362290532" TargetMode="External"/><Relationship Id="rId238" Type="http://schemas.openxmlformats.org/officeDocument/2006/relationships/hyperlink" Target="https://a0.muscache.com/im/pictures/hosting/Hosting-U3RheVN1cHBseUxpc3Rpbmc6MTMxNDU3NTUxMDI2MzIxNjUyNg%3D%3D/original/da6750db-a0e2-4ba2-80be-db4ecff26890.jpeg" TargetMode="External"/><Relationship Id="rId116" Type="http://schemas.openxmlformats.org/officeDocument/2006/relationships/hyperlink" Target="https://a0.muscache.com/im/pictures/prohost-api/Hosting-1354532747362290532/original/a0e021cf-3a37-4cf1-8be8-69d9720b15b4.jpeg" TargetMode="External"/><Relationship Id="rId237" Type="http://schemas.openxmlformats.org/officeDocument/2006/relationships/hyperlink" Target="https://www.airbnb.com/rooms/1288472630280657707" TargetMode="External"/><Relationship Id="rId115" Type="http://schemas.openxmlformats.org/officeDocument/2006/relationships/hyperlink" Target="http://holidayrental.com" TargetMode="External"/><Relationship Id="rId236" Type="http://schemas.openxmlformats.org/officeDocument/2006/relationships/hyperlink" Target="https://a0.muscache.com/im/pictures/hosting/Hosting-U3RheVN1cHBseUxpc3Rpbmc6MTI4ODQ3MjYzMDI4MDY1NzcwNw==/original/0c8b4715-b390-48a3-be08-5f171e838513.jpeg" TargetMode="External"/><Relationship Id="rId119" Type="http://schemas.openxmlformats.org/officeDocument/2006/relationships/hyperlink" Target="https://www.holidayrental.com/" TargetMode="External"/><Relationship Id="rId110" Type="http://schemas.openxmlformats.org/officeDocument/2006/relationships/hyperlink" Target="http://holidayrental.com" TargetMode="External"/><Relationship Id="rId231" Type="http://schemas.openxmlformats.org/officeDocument/2006/relationships/hyperlink" Target="https://www.airbnb.com/rooms/1222098788094563970" TargetMode="External"/><Relationship Id="rId230" Type="http://schemas.openxmlformats.org/officeDocument/2006/relationships/hyperlink" Target="https://a0.muscache.com/im/pictures/hosting/Hosting-1222098788094563970/original/f911724d-d4b8-4de2-958f-7fb4b4cab2a6.jpeg" TargetMode="External"/><Relationship Id="rId114" Type="http://schemas.openxmlformats.org/officeDocument/2006/relationships/hyperlink" Target="https://www.holidayrental.com/" TargetMode="External"/><Relationship Id="rId235" Type="http://schemas.openxmlformats.org/officeDocument/2006/relationships/hyperlink" Target="https://www.airbnb.com/rooms/1269286452215821303" TargetMode="External"/><Relationship Id="rId113" Type="http://schemas.openxmlformats.org/officeDocument/2006/relationships/hyperlink" Target="https://www.holidayrental.com/contact/" TargetMode="External"/><Relationship Id="rId234" Type="http://schemas.openxmlformats.org/officeDocument/2006/relationships/hyperlink" Target="https://a0.muscache.com/im/pictures/hosting/Hosting-U3RheVN1cHBseUxpc3Rpbmc6MTI2OTI4NjQ1MjIxNTgyMTMwMw==/original/eaf1ea2b-c627-45d8-a6ac-b64682c2cada.jpeg" TargetMode="External"/><Relationship Id="rId112" Type="http://schemas.openxmlformats.org/officeDocument/2006/relationships/hyperlink" Target="https://www.airbnb.com/rooms/963790357909900606" TargetMode="External"/><Relationship Id="rId233" Type="http://schemas.openxmlformats.org/officeDocument/2006/relationships/hyperlink" Target="https://www.airbnb.com/rooms/1238590817847283488" TargetMode="External"/><Relationship Id="rId111" Type="http://schemas.openxmlformats.org/officeDocument/2006/relationships/hyperlink" Target="https://a0.muscache.com/im/pictures/hosting/Hosting-963790357909900606/original/9ae9176b-88a4-44c7-905e-0ed98366c411.jpeg" TargetMode="External"/><Relationship Id="rId232" Type="http://schemas.openxmlformats.org/officeDocument/2006/relationships/hyperlink" Target="https://a0.muscache.com/im/pictures/miso/Hosting-1238590817847283488/original/45df5ae1-bbc6-4824-8c02-3e5a1670c93e.jpeg" TargetMode="External"/><Relationship Id="rId206" Type="http://schemas.openxmlformats.org/officeDocument/2006/relationships/hyperlink" Target="https://a0.muscache.com/im/pictures/miso/Hosting-954583143517845100/original/17336a18-21e1-4c47-b698-3f7fbdad33cc.png" TargetMode="External"/><Relationship Id="rId205" Type="http://schemas.openxmlformats.org/officeDocument/2006/relationships/hyperlink" Target="https://www.airbnb.com/rooms/917458015210307634" TargetMode="External"/><Relationship Id="rId204" Type="http://schemas.openxmlformats.org/officeDocument/2006/relationships/hyperlink" Target="https://a0.muscache.com/im/pictures/prohost-api/Hosting-917458015210307634/original/e15cb9aa-58b2-41f6-8622-710bda560427.jpeg" TargetMode="External"/><Relationship Id="rId203" Type="http://schemas.openxmlformats.org/officeDocument/2006/relationships/hyperlink" Target="https://www.airbnb.com/rooms/828291954494606959" TargetMode="External"/><Relationship Id="rId209" Type="http://schemas.openxmlformats.org/officeDocument/2006/relationships/hyperlink" Target="https://www.airbnb.com/rooms/954583143517845100" TargetMode="External"/><Relationship Id="rId208" Type="http://schemas.openxmlformats.org/officeDocument/2006/relationships/hyperlink" Target="https://a0.muscache.com/im/pictures/miso/Hosting-954583143517845100/original/17336a18-21e1-4c47-b698-3f7fbdad33cc.png" TargetMode="External"/><Relationship Id="rId207" Type="http://schemas.openxmlformats.org/officeDocument/2006/relationships/hyperlink" Target="https://www.airbnb.com/rooms/954583143517845100" TargetMode="External"/><Relationship Id="rId202" Type="http://schemas.openxmlformats.org/officeDocument/2006/relationships/hyperlink" Target="https://a0.muscache.com/im/pictures/hosting/Hosting-U3RheVN1cHBseUxpc3Rpbmc6ODI4MjkxOTU0NDk0NjA2OTU5/original/89ee70db-0380-497a-a13c-e1d8fc0f2574.jpeg" TargetMode="External"/><Relationship Id="rId201" Type="http://schemas.openxmlformats.org/officeDocument/2006/relationships/hyperlink" Target="https://www.airbnb.com/rooms/806658763044268066" TargetMode="External"/><Relationship Id="rId200" Type="http://schemas.openxmlformats.org/officeDocument/2006/relationships/hyperlink" Target="https://a0.muscache.com/im/pictures/prohost-api/Hosting-806658763044268066/original/1b36f41e-28f1-4f49-b5b1-e5843e92f211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2"/>
      <c r="B2" s="3" t="s">
        <v>62</v>
      </c>
      <c r="C2" s="3">
        <v>100579.0</v>
      </c>
      <c r="D2" s="3">
        <v>180720.0</v>
      </c>
      <c r="E2" s="3">
        <v>1734.12</v>
      </c>
      <c r="F2" s="3">
        <v>69.88</v>
      </c>
      <c r="G2" s="3">
        <v>95.0</v>
      </c>
      <c r="H2" s="3">
        <v>8.0</v>
      </c>
      <c r="I2" s="3">
        <v>7.0</v>
      </c>
      <c r="J2" s="3">
        <v>16.0</v>
      </c>
      <c r="K2" s="3" t="b">
        <v>1</v>
      </c>
      <c r="L2" s="3" t="b">
        <v>0</v>
      </c>
      <c r="M2" s="3" t="b">
        <v>1</v>
      </c>
      <c r="N2" s="3" t="b">
        <v>1</v>
      </c>
      <c r="O2" s="3" t="b">
        <v>1</v>
      </c>
      <c r="P2" s="3" t="b">
        <v>1</v>
      </c>
      <c r="Q2" s="3" t="b">
        <v>1</v>
      </c>
      <c r="R2" s="3" t="s">
        <v>63</v>
      </c>
      <c r="S2" s="3" t="s">
        <v>64</v>
      </c>
      <c r="T2" s="3" t="s">
        <v>65</v>
      </c>
      <c r="U2" s="3">
        <v>4.8</v>
      </c>
      <c r="V2" s="3">
        <v>37.0</v>
      </c>
      <c r="W2" s="3">
        <v>3.0</v>
      </c>
      <c r="X2" s="3">
        <v>1.0</v>
      </c>
      <c r="Y2" s="3" t="s">
        <v>66</v>
      </c>
      <c r="Z2" s="3" t="b">
        <v>0</v>
      </c>
      <c r="AA2" s="3">
        <v>575.0</v>
      </c>
      <c r="AB2" s="3" t="b">
        <v>0</v>
      </c>
      <c r="AC2" s="3">
        <v>58.0</v>
      </c>
      <c r="AD2" s="3">
        <v>16.0</v>
      </c>
      <c r="AE2" s="4">
        <v>46158.0</v>
      </c>
      <c r="AF2" s="3" t="s">
        <v>67</v>
      </c>
      <c r="AG2" s="3" t="s">
        <v>68</v>
      </c>
      <c r="AH2" s="3" t="s">
        <v>69</v>
      </c>
      <c r="AI2" s="3" t="s">
        <v>70</v>
      </c>
      <c r="AJ2" s="3">
        <v>85260.0</v>
      </c>
      <c r="AK2" s="3" t="s">
        <v>71</v>
      </c>
      <c r="AL2" s="3" t="s">
        <v>72</v>
      </c>
      <c r="AM2" s="5" t="s">
        <v>73</v>
      </c>
      <c r="AN2" s="2"/>
      <c r="AO2" s="3">
        <v>4912289.0</v>
      </c>
      <c r="AP2" s="3">
        <v>33.586483</v>
      </c>
      <c r="AQ2" s="3">
        <v>-111.866646</v>
      </c>
      <c r="AR2" s="3">
        <v>53.1</v>
      </c>
      <c r="AS2" s="2">
        <f t="shared" ref="AS2:AS5" si="1">AVERAGE($C$2:$C$596)</f>
        <v>206948.5429</v>
      </c>
      <c r="AT2" s="3">
        <v>16.78</v>
      </c>
      <c r="AU2" s="2">
        <f>IFERROR(($AS251-C251)/$AS251,0)</f>
        <v>0</v>
      </c>
      <c r="AV2" s="2">
        <f>$AS251-C251</f>
        <v>0</v>
      </c>
      <c r="AW2" s="3">
        <v>80141.0</v>
      </c>
      <c r="AX2" s="3">
        <v>4912289.0</v>
      </c>
      <c r="AY2" s="3" t="s">
        <v>74</v>
      </c>
      <c r="AZ2" s="5" t="s">
        <v>75</v>
      </c>
      <c r="BA2" s="3" t="s">
        <v>76</v>
      </c>
      <c r="BB2" s="3" t="s">
        <v>77</v>
      </c>
      <c r="BC2" s="5" t="s">
        <v>78</v>
      </c>
      <c r="BD2" s="3" t="s">
        <v>79</v>
      </c>
      <c r="BE2" s="3" t="s">
        <v>80</v>
      </c>
      <c r="BF2" s="3" t="s">
        <v>81</v>
      </c>
      <c r="BG2" s="5" t="s">
        <v>78</v>
      </c>
      <c r="BH2" s="3" t="s">
        <v>82</v>
      </c>
      <c r="BI2" s="2"/>
      <c r="BJ2" s="2"/>
      <c r="BK2" s="2"/>
      <c r="BL2" s="2"/>
    </row>
    <row r="3">
      <c r="A3" s="3">
        <v>8.9430697E7</v>
      </c>
      <c r="B3" s="3" t="s">
        <v>62</v>
      </c>
      <c r="C3" s="3">
        <v>353922.0</v>
      </c>
      <c r="D3" s="3">
        <v>446121.0</v>
      </c>
      <c r="E3" s="3">
        <v>1545.51</v>
      </c>
      <c r="F3" s="3">
        <v>81.49</v>
      </c>
      <c r="G3" s="3">
        <v>281.0</v>
      </c>
      <c r="H3" s="3">
        <v>9.0</v>
      </c>
      <c r="I3" s="3">
        <v>6.0</v>
      </c>
      <c r="J3" s="3">
        <v>16.0</v>
      </c>
      <c r="K3" s="3" t="b">
        <v>1</v>
      </c>
      <c r="L3" s="3" t="b">
        <v>0</v>
      </c>
      <c r="M3" s="3" t="b">
        <v>1</v>
      </c>
      <c r="N3" s="3" t="b">
        <v>1</v>
      </c>
      <c r="O3" s="3" t="b">
        <v>1</v>
      </c>
      <c r="P3" s="3" t="b">
        <v>1</v>
      </c>
      <c r="Q3" s="3" t="b">
        <v>1</v>
      </c>
      <c r="R3" s="3" t="s">
        <v>63</v>
      </c>
      <c r="S3" s="3" t="s">
        <v>83</v>
      </c>
      <c r="T3" s="3" t="s">
        <v>65</v>
      </c>
      <c r="U3" s="3">
        <v>4.95</v>
      </c>
      <c r="V3" s="3">
        <v>416.0</v>
      </c>
      <c r="W3" s="3">
        <v>3.0</v>
      </c>
      <c r="X3" s="6">
        <v>46193.0</v>
      </c>
      <c r="Y3" s="3" t="s">
        <v>66</v>
      </c>
      <c r="Z3" s="3" t="b">
        <v>1</v>
      </c>
      <c r="AA3" s="3">
        <v>574.0</v>
      </c>
      <c r="AB3" s="3" t="b">
        <v>1</v>
      </c>
      <c r="AC3" s="3">
        <v>229.0</v>
      </c>
      <c r="AD3" s="3">
        <v>65.0</v>
      </c>
      <c r="AE3" s="4">
        <v>46159.0</v>
      </c>
      <c r="AF3" s="3" t="s">
        <v>67</v>
      </c>
      <c r="AG3" s="3" t="s">
        <v>68</v>
      </c>
      <c r="AH3" s="3" t="s">
        <v>69</v>
      </c>
      <c r="AI3" s="3" t="s">
        <v>70</v>
      </c>
      <c r="AJ3" s="3">
        <v>85260.0</v>
      </c>
      <c r="AK3" s="3" t="s">
        <v>71</v>
      </c>
      <c r="AL3" s="3" t="s">
        <v>72</v>
      </c>
      <c r="AM3" s="5" t="s">
        <v>84</v>
      </c>
      <c r="AN3" s="3">
        <v>1.6450639E7</v>
      </c>
      <c r="AO3" s="3">
        <v>986861.0</v>
      </c>
      <c r="AP3" s="3">
        <v>33.6063</v>
      </c>
      <c r="AQ3" s="3">
        <v>-111.8926</v>
      </c>
      <c r="AR3" s="3">
        <v>53.1</v>
      </c>
      <c r="AS3" s="2">
        <f t="shared" si="1"/>
        <v>206948.5429</v>
      </c>
      <c r="AT3" s="3">
        <v>28.39</v>
      </c>
      <c r="AU3" s="2">
        <f>IFERROR(($AS16-C16)/$AS16,0)</f>
        <v>0.09498758767</v>
      </c>
      <c r="AV3" s="2">
        <f>$AS16-C16</f>
        <v>19657.54286</v>
      </c>
      <c r="AW3" s="3">
        <v>92199.0</v>
      </c>
      <c r="AX3" s="3">
        <v>1.6450639E7</v>
      </c>
      <c r="AY3" s="3" t="s">
        <v>85</v>
      </c>
      <c r="AZ3" s="5" t="s">
        <v>86</v>
      </c>
      <c r="BA3" s="3" t="s">
        <v>87</v>
      </c>
      <c r="BB3" s="3" t="s">
        <v>77</v>
      </c>
      <c r="BC3" s="3" t="s">
        <v>88</v>
      </c>
      <c r="BD3" s="3" t="s">
        <v>79</v>
      </c>
      <c r="BE3" s="3" t="s">
        <v>89</v>
      </c>
      <c r="BF3" s="3" t="s">
        <v>81</v>
      </c>
      <c r="BG3" s="5" t="s">
        <v>78</v>
      </c>
      <c r="BH3" s="3" t="s">
        <v>82</v>
      </c>
      <c r="BI3" s="2"/>
      <c r="BJ3" s="2"/>
      <c r="BK3" s="2"/>
      <c r="BL3" s="2"/>
    </row>
    <row r="4">
      <c r="A4" s="1">
        <v>8.9430697E7</v>
      </c>
      <c r="B4" s="1" t="s">
        <v>62</v>
      </c>
      <c r="C4" s="1">
        <v>306289.0</v>
      </c>
      <c r="D4" s="1">
        <v>446722.0</v>
      </c>
      <c r="E4" s="1">
        <v>1890.67</v>
      </c>
      <c r="F4" s="1">
        <v>69.23</v>
      </c>
      <c r="G4" s="1">
        <v>239.0</v>
      </c>
      <c r="H4" s="1">
        <v>8.0</v>
      </c>
      <c r="I4" s="1">
        <v>7.0</v>
      </c>
      <c r="J4" s="1">
        <v>16.0</v>
      </c>
      <c r="K4" s="1" t="b">
        <v>1</v>
      </c>
      <c r="L4" s="1" t="b">
        <v>0</v>
      </c>
      <c r="M4" s="1" t="b">
        <v>1</v>
      </c>
      <c r="N4" s="1" t="b">
        <v>1</v>
      </c>
      <c r="O4" s="1" t="b">
        <v>1</v>
      </c>
      <c r="P4" s="1" t="b">
        <v>1</v>
      </c>
      <c r="Q4" s="1" t="b">
        <v>1</v>
      </c>
      <c r="R4" s="1" t="s">
        <v>63</v>
      </c>
      <c r="S4" s="1" t="s">
        <v>83</v>
      </c>
      <c r="T4" s="1" t="s">
        <v>65</v>
      </c>
      <c r="U4" s="1">
        <v>4.95</v>
      </c>
      <c r="V4" s="1">
        <v>312.0</v>
      </c>
      <c r="W4" s="1">
        <v>3.0</v>
      </c>
      <c r="X4" s="7">
        <v>46193.0</v>
      </c>
      <c r="Y4" s="1" t="s">
        <v>66</v>
      </c>
      <c r="Z4" s="1" t="b">
        <v>1</v>
      </c>
      <c r="AA4" s="1">
        <v>575.0</v>
      </c>
      <c r="AB4" s="1" t="b">
        <v>1</v>
      </c>
      <c r="AC4" s="1">
        <v>162.0</v>
      </c>
      <c r="AD4" s="1">
        <v>48.0</v>
      </c>
      <c r="AE4" s="8">
        <v>46159.0</v>
      </c>
      <c r="AF4" s="1" t="s">
        <v>67</v>
      </c>
      <c r="AG4" s="1" t="s">
        <v>68</v>
      </c>
      <c r="AH4" s="1" t="s">
        <v>69</v>
      </c>
      <c r="AI4" s="1" t="s">
        <v>70</v>
      </c>
      <c r="AJ4" s="1">
        <v>85260.0</v>
      </c>
      <c r="AK4" s="1" t="s">
        <v>71</v>
      </c>
      <c r="AL4" s="1" t="s">
        <v>72</v>
      </c>
      <c r="AM4" s="9" t="s">
        <v>90</v>
      </c>
      <c r="AN4" s="1">
        <v>3.7568848E7</v>
      </c>
      <c r="AO4" s="1" t="s">
        <v>91</v>
      </c>
      <c r="AP4" s="1">
        <v>33.5865</v>
      </c>
      <c r="AQ4" s="1">
        <v>-111.8666</v>
      </c>
      <c r="AR4" s="1">
        <v>53.1</v>
      </c>
      <c r="AS4" s="10">
        <f t="shared" si="1"/>
        <v>206948.5429</v>
      </c>
      <c r="AT4" s="1">
        <v>16.13</v>
      </c>
      <c r="AU4" s="10">
        <f>IFERROR(($AS25-C25)/$AS25,0)</f>
        <v>0.251896158</v>
      </c>
      <c r="AV4" s="10">
        <f>$AS25-C25</f>
        <v>52129.54286</v>
      </c>
      <c r="AW4" s="1">
        <v>140433.0</v>
      </c>
      <c r="AX4" s="1">
        <v>3.7568848E7</v>
      </c>
      <c r="AY4" s="1" t="s">
        <v>74</v>
      </c>
      <c r="AZ4" s="9" t="s">
        <v>92</v>
      </c>
      <c r="BA4" s="1" t="s">
        <v>76</v>
      </c>
      <c r="BB4" s="1" t="s">
        <v>77</v>
      </c>
      <c r="BC4" s="9" t="s">
        <v>78</v>
      </c>
      <c r="BD4" s="1" t="s">
        <v>79</v>
      </c>
      <c r="BE4" s="1" t="s">
        <v>80</v>
      </c>
      <c r="BF4" s="1" t="s">
        <v>81</v>
      </c>
      <c r="BG4" s="9" t="s">
        <v>78</v>
      </c>
      <c r="BH4" s="1" t="s">
        <v>82</v>
      </c>
    </row>
    <row r="5">
      <c r="A5" s="3">
        <v>8.9430697E7</v>
      </c>
      <c r="B5" s="3" t="s">
        <v>62</v>
      </c>
      <c r="C5" s="3">
        <v>167814.0</v>
      </c>
      <c r="D5" s="3">
        <v>202349.0</v>
      </c>
      <c r="E5" s="3">
        <v>1525.58</v>
      </c>
      <c r="F5" s="3">
        <v>64.33</v>
      </c>
      <c r="G5" s="3">
        <v>196.0</v>
      </c>
      <c r="H5" s="3">
        <v>7.0</v>
      </c>
      <c r="I5" s="3">
        <v>5.0</v>
      </c>
      <c r="J5" s="3">
        <v>16.0</v>
      </c>
      <c r="K5" s="3" t="b">
        <v>1</v>
      </c>
      <c r="L5" s="3" t="b">
        <v>0</v>
      </c>
      <c r="M5" s="3" t="b">
        <v>1</v>
      </c>
      <c r="N5" s="3" t="b">
        <v>1</v>
      </c>
      <c r="O5" s="3" t="b">
        <v>1</v>
      </c>
      <c r="P5" s="3" t="b">
        <v>1</v>
      </c>
      <c r="Q5" s="3" t="b">
        <v>1</v>
      </c>
      <c r="R5" s="3" t="s">
        <v>63</v>
      </c>
      <c r="S5" s="3" t="s">
        <v>64</v>
      </c>
      <c r="T5" s="3" t="s">
        <v>65</v>
      </c>
      <c r="U5" s="3">
        <v>5.0</v>
      </c>
      <c r="V5" s="3">
        <v>27.0</v>
      </c>
      <c r="W5" s="3">
        <v>3.0</v>
      </c>
      <c r="X5" s="6">
        <v>46193.0</v>
      </c>
      <c r="Y5" s="3" t="s">
        <v>66</v>
      </c>
      <c r="Z5" s="3" t="b">
        <v>1</v>
      </c>
      <c r="AA5" s="3">
        <v>375.0</v>
      </c>
      <c r="AB5" s="3" t="b">
        <v>1</v>
      </c>
      <c r="AC5" s="3">
        <v>110.0</v>
      </c>
      <c r="AD5" s="3">
        <v>32.0</v>
      </c>
      <c r="AE5" s="4">
        <v>46157.0</v>
      </c>
      <c r="AF5" s="3" t="s">
        <v>67</v>
      </c>
      <c r="AG5" s="3" t="s">
        <v>68</v>
      </c>
      <c r="AH5" s="3" t="s">
        <v>69</v>
      </c>
      <c r="AI5" s="3" t="s">
        <v>70</v>
      </c>
      <c r="AJ5" s="3">
        <v>85250.0</v>
      </c>
      <c r="AK5" s="3" t="s">
        <v>71</v>
      </c>
      <c r="AL5" s="3" t="s">
        <v>72</v>
      </c>
      <c r="AM5" s="5" t="s">
        <v>93</v>
      </c>
      <c r="AN5" s="3" t="s">
        <v>94</v>
      </c>
      <c r="AO5" s="3">
        <v>4940485.0</v>
      </c>
      <c r="AP5" s="3">
        <v>33.5316</v>
      </c>
      <c r="AQ5" s="3">
        <v>-111.898</v>
      </c>
      <c r="AR5" s="3">
        <v>53.1</v>
      </c>
      <c r="AS5" s="2">
        <f t="shared" si="1"/>
        <v>206948.5429</v>
      </c>
      <c r="AT5" s="3">
        <v>11.23</v>
      </c>
      <c r="AU5" s="2">
        <f>IFERROR(($AS48-C48)/$AS48,0)</f>
        <v>0.4497521054</v>
      </c>
      <c r="AV5" s="2">
        <f>$AS48-C48</f>
        <v>93075.54286</v>
      </c>
      <c r="AW5" s="3">
        <v>34535.0</v>
      </c>
      <c r="AX5" s="3" t="s">
        <v>94</v>
      </c>
      <c r="AY5" s="3" t="s">
        <v>95</v>
      </c>
      <c r="AZ5" s="5" t="s">
        <v>96</v>
      </c>
      <c r="BA5" s="3" t="s">
        <v>97</v>
      </c>
      <c r="BB5" s="3" t="s">
        <v>77</v>
      </c>
      <c r="BC5" s="3" t="s">
        <v>98</v>
      </c>
      <c r="BD5" s="3" t="s">
        <v>79</v>
      </c>
      <c r="BE5" s="3" t="s">
        <v>99</v>
      </c>
      <c r="BF5" s="3" t="s">
        <v>81</v>
      </c>
      <c r="BG5" s="5" t="s">
        <v>100</v>
      </c>
      <c r="BH5" s="3" t="s">
        <v>82</v>
      </c>
      <c r="BI5" s="2"/>
      <c r="BJ5" s="2"/>
      <c r="BK5" s="2"/>
      <c r="BL5" s="2"/>
    </row>
    <row r="6">
      <c r="A6" s="2"/>
      <c r="B6" s="3" t="s">
        <v>101</v>
      </c>
      <c r="C6" s="3">
        <v>1803772.0</v>
      </c>
      <c r="D6" s="3">
        <v>2188041.0</v>
      </c>
      <c r="E6" s="3">
        <v>14785.02</v>
      </c>
      <c r="F6" s="3">
        <v>40.4</v>
      </c>
      <c r="G6" s="3">
        <v>302.0</v>
      </c>
      <c r="H6" s="3">
        <v>26.0</v>
      </c>
      <c r="I6" s="3">
        <v>29.0</v>
      </c>
      <c r="J6" s="3">
        <v>70.0</v>
      </c>
      <c r="K6" s="3" t="b">
        <v>1</v>
      </c>
      <c r="L6" s="3" t="b">
        <v>1</v>
      </c>
      <c r="M6" s="3" t="b">
        <v>1</v>
      </c>
      <c r="N6" s="3" t="b">
        <v>1</v>
      </c>
      <c r="O6" s="3" t="b">
        <v>1</v>
      </c>
      <c r="P6" s="3" t="b">
        <v>0</v>
      </c>
      <c r="Q6" s="3" t="b">
        <v>1</v>
      </c>
      <c r="R6" s="3" t="s">
        <v>63</v>
      </c>
      <c r="S6" s="3" t="s">
        <v>64</v>
      </c>
      <c r="T6" s="3" t="s">
        <v>65</v>
      </c>
      <c r="U6" s="3">
        <v>0.0</v>
      </c>
      <c r="V6" s="3">
        <v>0.0</v>
      </c>
      <c r="W6" s="3">
        <v>2.0</v>
      </c>
      <c r="X6" s="3">
        <v>1.0</v>
      </c>
      <c r="Y6" s="3" t="s">
        <v>66</v>
      </c>
      <c r="Z6" s="3" t="b">
        <v>0</v>
      </c>
      <c r="AA6" s="3">
        <v>900.0</v>
      </c>
      <c r="AB6" s="3" t="b">
        <v>1</v>
      </c>
      <c r="AC6" s="3">
        <v>122.0</v>
      </c>
      <c r="AD6" s="3">
        <v>29.0</v>
      </c>
      <c r="AE6" s="4">
        <v>45783.0</v>
      </c>
      <c r="AF6" s="3" t="s">
        <v>67</v>
      </c>
      <c r="AG6" s="3" t="s">
        <v>102</v>
      </c>
      <c r="AH6" s="3" t="s">
        <v>69</v>
      </c>
      <c r="AI6" s="3" t="s">
        <v>70</v>
      </c>
      <c r="AJ6" s="3">
        <v>85266.0</v>
      </c>
      <c r="AK6" s="3" t="s">
        <v>71</v>
      </c>
      <c r="AL6" s="3" t="s">
        <v>72</v>
      </c>
      <c r="AM6" s="5" t="s">
        <v>103</v>
      </c>
      <c r="AN6" s="2"/>
      <c r="AO6" s="3">
        <v>3293302.0</v>
      </c>
      <c r="AP6" s="3">
        <v>33.753884</v>
      </c>
      <c r="AQ6" s="3">
        <v>-111.901829</v>
      </c>
      <c r="AR6" s="3">
        <v>49.3</v>
      </c>
      <c r="AS6" s="2">
        <f>AVERAGE($C$2:$C$329)</f>
        <v>206948.5429</v>
      </c>
      <c r="AT6" s="3">
        <v>-8.9</v>
      </c>
      <c r="AU6" s="2">
        <f>IFERROR(($AS2-C2)/$AS2,0)</f>
        <v>0.5139902963</v>
      </c>
      <c r="AV6" s="2">
        <f>$AS2-C2</f>
        <v>106369.5429</v>
      </c>
      <c r="AW6" s="3">
        <v>384269.0</v>
      </c>
      <c r="AX6" s="3">
        <v>3293302.0</v>
      </c>
      <c r="AY6" s="3" t="s">
        <v>101</v>
      </c>
      <c r="AZ6" s="5" t="s">
        <v>104</v>
      </c>
      <c r="BA6" s="3" t="s">
        <v>105</v>
      </c>
      <c r="BB6" s="3" t="s">
        <v>106</v>
      </c>
      <c r="BC6" s="5" t="s">
        <v>107</v>
      </c>
      <c r="BD6" s="3" t="s">
        <v>79</v>
      </c>
      <c r="BE6" s="3" t="s">
        <v>108</v>
      </c>
      <c r="BF6" s="3" t="s">
        <v>81</v>
      </c>
      <c r="BG6" s="5" t="s">
        <v>107</v>
      </c>
      <c r="BH6" s="2"/>
      <c r="BI6" s="2"/>
      <c r="BJ6" s="2"/>
      <c r="BK6" s="2"/>
      <c r="BL6" s="2"/>
    </row>
    <row r="7">
      <c r="A7" s="11"/>
      <c r="B7" s="12" t="s">
        <v>109</v>
      </c>
      <c r="C7" s="12">
        <v>281668.0</v>
      </c>
      <c r="D7" s="12">
        <v>336296.0</v>
      </c>
      <c r="E7" s="12">
        <v>2347.23</v>
      </c>
      <c r="F7" s="12">
        <v>55.81</v>
      </c>
      <c r="G7" s="12">
        <v>258.0</v>
      </c>
      <c r="H7" s="12">
        <v>5.0</v>
      </c>
      <c r="I7" s="12">
        <v>4.0</v>
      </c>
      <c r="J7" s="12">
        <v>16.0</v>
      </c>
      <c r="K7" s="12" t="b">
        <v>1</v>
      </c>
      <c r="L7" s="12" t="b">
        <v>0</v>
      </c>
      <c r="M7" s="12" t="b">
        <v>1</v>
      </c>
      <c r="N7" s="12" t="b">
        <v>1</v>
      </c>
      <c r="O7" s="12" t="b">
        <v>1</v>
      </c>
      <c r="P7" s="12" t="b">
        <v>1</v>
      </c>
      <c r="Q7" s="12" t="b">
        <v>1</v>
      </c>
      <c r="R7" s="12" t="s">
        <v>63</v>
      </c>
      <c r="S7" s="12" t="s">
        <v>64</v>
      </c>
      <c r="T7" s="12" t="s">
        <v>65</v>
      </c>
      <c r="U7" s="12">
        <v>5.0</v>
      </c>
      <c r="V7" s="12">
        <v>4.0</v>
      </c>
      <c r="W7" s="12">
        <v>3.0</v>
      </c>
      <c r="X7" s="12">
        <v>1.0</v>
      </c>
      <c r="Y7" s="12" t="s">
        <v>66</v>
      </c>
      <c r="Z7" s="12" t="b">
        <v>0</v>
      </c>
      <c r="AA7" s="12">
        <v>850.0</v>
      </c>
      <c r="AB7" s="12" t="b">
        <v>1</v>
      </c>
      <c r="AC7" s="12">
        <v>120.0</v>
      </c>
      <c r="AD7" s="12">
        <v>27.0</v>
      </c>
      <c r="AE7" s="13">
        <v>46157.0</v>
      </c>
      <c r="AF7" s="12" t="s">
        <v>67</v>
      </c>
      <c r="AG7" s="12" t="s">
        <v>68</v>
      </c>
      <c r="AH7" s="12" t="s">
        <v>68</v>
      </c>
      <c r="AI7" s="12" t="s">
        <v>70</v>
      </c>
      <c r="AJ7" s="12">
        <v>85253.0</v>
      </c>
      <c r="AK7" s="12" t="s">
        <v>71</v>
      </c>
      <c r="AL7" s="12" t="s">
        <v>72</v>
      </c>
      <c r="AM7" s="14" t="s">
        <v>110</v>
      </c>
      <c r="AN7" s="11"/>
      <c r="AO7" s="12">
        <v>4704009.0</v>
      </c>
      <c r="AP7" s="12">
        <v>33.565691</v>
      </c>
      <c r="AQ7" s="12">
        <v>-111.976444</v>
      </c>
      <c r="AR7" s="12">
        <v>52.34</v>
      </c>
      <c r="AS7" s="11">
        <f>AVERAGE($C$2:$C$596)</f>
        <v>206948.5429</v>
      </c>
      <c r="AT7" s="12">
        <v>3.47</v>
      </c>
      <c r="AU7" s="11">
        <f>IFERROR(($AS56-C56)/$AS56,0)</f>
        <v>-0.1977856745</v>
      </c>
      <c r="AV7" s="11">
        <f>$AS56-C56</f>
        <v>-40931.45714</v>
      </c>
      <c r="AW7" s="12">
        <v>54628.0</v>
      </c>
      <c r="AX7" s="12">
        <v>4704009.0</v>
      </c>
      <c r="AY7" s="12" t="s">
        <v>111</v>
      </c>
      <c r="AZ7" s="14" t="s">
        <v>112</v>
      </c>
      <c r="BA7" s="12" t="s">
        <v>113</v>
      </c>
      <c r="BB7" s="12" t="s">
        <v>114</v>
      </c>
      <c r="BC7" s="12" t="s">
        <v>115</v>
      </c>
      <c r="BD7" s="12" t="s">
        <v>79</v>
      </c>
      <c r="BE7" s="12" t="s">
        <v>116</v>
      </c>
      <c r="BF7" s="12" t="s">
        <v>81</v>
      </c>
      <c r="BG7" s="14" t="s">
        <v>117</v>
      </c>
      <c r="BH7" s="11"/>
      <c r="BI7" s="11"/>
      <c r="BJ7" s="11"/>
      <c r="BK7" s="11"/>
      <c r="BL7" s="11"/>
    </row>
    <row r="8">
      <c r="A8" s="12">
        <v>2.24226484E8</v>
      </c>
      <c r="B8" s="12" t="s">
        <v>118</v>
      </c>
      <c r="C8" s="12">
        <v>169284.0</v>
      </c>
      <c r="D8" s="12">
        <v>183963.0</v>
      </c>
      <c r="E8" s="12">
        <v>1434.61</v>
      </c>
      <c r="F8" s="12">
        <v>41.7</v>
      </c>
      <c r="G8" s="12">
        <v>296.0</v>
      </c>
      <c r="H8" s="12">
        <v>6.0</v>
      </c>
      <c r="I8" s="12">
        <v>6.0</v>
      </c>
      <c r="J8" s="12">
        <v>16.0</v>
      </c>
      <c r="K8" s="12" t="b">
        <v>1</v>
      </c>
      <c r="L8" s="12" t="b">
        <v>0</v>
      </c>
      <c r="M8" s="12" t="b">
        <v>1</v>
      </c>
      <c r="N8" s="12" t="b">
        <v>1</v>
      </c>
      <c r="O8" s="12" t="b">
        <v>1</v>
      </c>
      <c r="P8" s="12" t="b">
        <v>0</v>
      </c>
      <c r="Q8" s="12" t="b">
        <v>0</v>
      </c>
      <c r="R8" s="12" t="s">
        <v>63</v>
      </c>
      <c r="S8" s="12" t="s">
        <v>119</v>
      </c>
      <c r="T8" s="12" t="s">
        <v>65</v>
      </c>
      <c r="U8" s="12">
        <v>5.0</v>
      </c>
      <c r="V8" s="12">
        <v>17.0</v>
      </c>
      <c r="W8" s="12">
        <v>2.0</v>
      </c>
      <c r="X8" s="12">
        <v>1.0</v>
      </c>
      <c r="Y8" s="12" t="s">
        <v>66</v>
      </c>
      <c r="Z8" s="12" t="b">
        <v>1</v>
      </c>
      <c r="AA8" s="12">
        <v>600.0</v>
      </c>
      <c r="AB8" s="12" t="b">
        <v>0</v>
      </c>
      <c r="AC8" s="12">
        <v>118.0</v>
      </c>
      <c r="AD8" s="12">
        <v>38.0</v>
      </c>
      <c r="AE8" s="13">
        <v>46156.0</v>
      </c>
      <c r="AF8" s="12" t="s">
        <v>120</v>
      </c>
      <c r="AG8" s="12" t="s">
        <v>121</v>
      </c>
      <c r="AH8" s="12" t="s">
        <v>122</v>
      </c>
      <c r="AI8" s="12" t="s">
        <v>70</v>
      </c>
      <c r="AJ8" s="12">
        <v>85934.0</v>
      </c>
      <c r="AK8" s="12" t="s">
        <v>71</v>
      </c>
      <c r="AL8" s="12" t="s">
        <v>123</v>
      </c>
      <c r="AM8" s="14" t="s">
        <v>124</v>
      </c>
      <c r="AN8" s="12" t="s">
        <v>125</v>
      </c>
      <c r="AO8" s="12">
        <v>4642681.0</v>
      </c>
      <c r="AP8" s="12">
        <v>34.2551</v>
      </c>
      <c r="AQ8" s="12">
        <v>-110.2374</v>
      </c>
      <c r="AR8" s="12">
        <v>41.7</v>
      </c>
      <c r="AS8" s="11">
        <f>AVERAGE($C$2:$C$103)</f>
        <v>209098.9118</v>
      </c>
      <c r="AT8" s="12">
        <v>0.0</v>
      </c>
      <c r="AU8" s="11">
        <f t="shared" ref="AU8:AU9" si="2">IFERROR((#REF!-#REF!)/#REF!,0)</f>
        <v>0</v>
      </c>
      <c r="AV8" s="11" t="str">
        <f t="shared" ref="AV8:AV9" si="3">#REF!-#REF!</f>
        <v>#REF!</v>
      </c>
      <c r="AW8" s="12">
        <v>14679.0</v>
      </c>
      <c r="AX8" s="12" t="s">
        <v>125</v>
      </c>
      <c r="AY8" s="12" t="s">
        <v>126</v>
      </c>
      <c r="AZ8" s="14" t="s">
        <v>127</v>
      </c>
      <c r="BA8" s="12" t="s">
        <v>126</v>
      </c>
      <c r="BB8" s="12" t="s">
        <v>128</v>
      </c>
      <c r="BC8" s="12" t="s">
        <v>129</v>
      </c>
      <c r="BD8" s="12" t="s">
        <v>79</v>
      </c>
      <c r="BE8" s="12" t="s">
        <v>130</v>
      </c>
      <c r="BF8" s="12" t="s">
        <v>81</v>
      </c>
      <c r="BG8" s="14" t="s">
        <v>131</v>
      </c>
      <c r="BH8" s="12" t="s">
        <v>132</v>
      </c>
      <c r="BI8" s="11"/>
      <c r="BJ8" s="11"/>
      <c r="BK8" s="11"/>
      <c r="BL8" s="11"/>
    </row>
    <row r="9">
      <c r="A9" s="12">
        <v>2.24226484E8</v>
      </c>
      <c r="B9" s="12" t="s">
        <v>118</v>
      </c>
      <c r="C9" s="12">
        <v>169284.0</v>
      </c>
      <c r="D9" s="12">
        <v>183963.0</v>
      </c>
      <c r="E9" s="12">
        <v>1434.61</v>
      </c>
      <c r="F9" s="12">
        <v>41.7</v>
      </c>
      <c r="G9" s="12">
        <v>296.0</v>
      </c>
      <c r="H9" s="12">
        <v>6.0</v>
      </c>
      <c r="I9" s="12">
        <v>6.0</v>
      </c>
      <c r="J9" s="12">
        <v>16.0</v>
      </c>
      <c r="K9" s="12" t="b">
        <v>1</v>
      </c>
      <c r="L9" s="12" t="b">
        <v>0</v>
      </c>
      <c r="M9" s="12" t="b">
        <v>1</v>
      </c>
      <c r="N9" s="12" t="b">
        <v>1</v>
      </c>
      <c r="O9" s="12" t="b">
        <v>1</v>
      </c>
      <c r="P9" s="12" t="b">
        <v>0</v>
      </c>
      <c r="Q9" s="12" t="b">
        <v>0</v>
      </c>
      <c r="R9" s="12" t="s">
        <v>63</v>
      </c>
      <c r="S9" s="12" t="s">
        <v>119</v>
      </c>
      <c r="T9" s="12" t="s">
        <v>65</v>
      </c>
      <c r="U9" s="12">
        <v>5.0</v>
      </c>
      <c r="V9" s="12">
        <v>17.0</v>
      </c>
      <c r="W9" s="12">
        <v>2.0</v>
      </c>
      <c r="X9" s="12">
        <v>1.0</v>
      </c>
      <c r="Y9" s="12" t="s">
        <v>66</v>
      </c>
      <c r="Z9" s="12" t="b">
        <v>1</v>
      </c>
      <c r="AA9" s="12">
        <v>600.0</v>
      </c>
      <c r="AB9" s="12" t="b">
        <v>0</v>
      </c>
      <c r="AC9" s="12">
        <v>118.0</v>
      </c>
      <c r="AD9" s="12">
        <v>38.0</v>
      </c>
      <c r="AE9" s="13">
        <v>46156.0</v>
      </c>
      <c r="AF9" s="12" t="s">
        <v>120</v>
      </c>
      <c r="AG9" s="12" t="s">
        <v>121</v>
      </c>
      <c r="AH9" s="12" t="s">
        <v>122</v>
      </c>
      <c r="AI9" s="12" t="s">
        <v>70</v>
      </c>
      <c r="AJ9" s="12">
        <v>85934.0</v>
      </c>
      <c r="AK9" s="12" t="s">
        <v>71</v>
      </c>
      <c r="AL9" s="12" t="s">
        <v>123</v>
      </c>
      <c r="AM9" s="14" t="s">
        <v>124</v>
      </c>
      <c r="AN9" s="12" t="s">
        <v>125</v>
      </c>
      <c r="AO9" s="12">
        <v>4642681.0</v>
      </c>
      <c r="AP9" s="12">
        <v>34.2551</v>
      </c>
      <c r="AQ9" s="12">
        <v>-110.2374</v>
      </c>
      <c r="AR9" s="12">
        <v>36.15</v>
      </c>
      <c r="AS9" s="11">
        <f>AVERAGE($C$2:$C$407)</f>
        <v>206948.5429</v>
      </c>
      <c r="AT9" s="12">
        <v>5.55</v>
      </c>
      <c r="AU9" s="11">
        <f t="shared" si="2"/>
        <v>0</v>
      </c>
      <c r="AV9" s="11" t="str">
        <f t="shared" si="3"/>
        <v>#REF!</v>
      </c>
      <c r="AW9" s="12">
        <v>14679.0</v>
      </c>
      <c r="AX9" s="12" t="s">
        <v>125</v>
      </c>
      <c r="AY9" s="12" t="s">
        <v>126</v>
      </c>
      <c r="AZ9" s="14" t="s">
        <v>127</v>
      </c>
      <c r="BA9" s="12" t="s">
        <v>126</v>
      </c>
      <c r="BB9" s="12" t="s">
        <v>128</v>
      </c>
      <c r="BC9" s="12" t="s">
        <v>129</v>
      </c>
      <c r="BD9" s="12" t="s">
        <v>79</v>
      </c>
      <c r="BE9" s="12" t="s">
        <v>130</v>
      </c>
      <c r="BF9" s="12" t="s">
        <v>81</v>
      </c>
      <c r="BG9" s="14" t="s">
        <v>131</v>
      </c>
      <c r="BH9" s="12" t="s">
        <v>132</v>
      </c>
      <c r="BI9" s="11"/>
      <c r="BJ9" s="11"/>
      <c r="BK9" s="11"/>
      <c r="BL9" s="11"/>
    </row>
    <row r="10">
      <c r="A10" s="12" t="s">
        <v>133</v>
      </c>
      <c r="B10" s="12" t="s">
        <v>133</v>
      </c>
      <c r="C10" s="12">
        <v>444694.0</v>
      </c>
      <c r="D10" s="12">
        <v>558020.0</v>
      </c>
      <c r="E10" s="12">
        <v>3800.8</v>
      </c>
      <c r="F10" s="12">
        <v>63.59</v>
      </c>
      <c r="G10" s="12">
        <v>215.0</v>
      </c>
      <c r="H10" s="12">
        <v>10.0</v>
      </c>
      <c r="I10" s="12">
        <v>12.0</v>
      </c>
      <c r="J10" s="12">
        <v>32.0</v>
      </c>
      <c r="K10" s="12" t="b">
        <v>1</v>
      </c>
      <c r="L10" s="12" t="b">
        <v>0</v>
      </c>
      <c r="M10" s="12" t="b">
        <v>1</v>
      </c>
      <c r="N10" s="12" t="b">
        <v>1</v>
      </c>
      <c r="O10" s="12" t="b">
        <v>1</v>
      </c>
      <c r="P10" s="12" t="b">
        <v>0</v>
      </c>
      <c r="Q10" s="12" t="b">
        <v>1</v>
      </c>
      <c r="R10" s="12" t="s">
        <v>63</v>
      </c>
      <c r="S10" s="12" t="s">
        <v>64</v>
      </c>
      <c r="T10" s="12" t="s">
        <v>65</v>
      </c>
      <c r="U10" s="12">
        <v>5.0</v>
      </c>
      <c r="V10" s="12">
        <v>6.0</v>
      </c>
      <c r="W10" s="12">
        <v>3.0</v>
      </c>
      <c r="X10" s="15">
        <v>46058.0</v>
      </c>
      <c r="Y10" s="12" t="s">
        <v>66</v>
      </c>
      <c r="Z10" s="12" t="b">
        <v>0</v>
      </c>
      <c r="AA10" s="12">
        <v>1000.0</v>
      </c>
      <c r="AB10" s="12" t="b">
        <v>1</v>
      </c>
      <c r="AC10" s="12">
        <v>117.0</v>
      </c>
      <c r="AD10" s="12">
        <v>33.0</v>
      </c>
      <c r="AE10" s="13">
        <v>46159.0</v>
      </c>
      <c r="AF10" s="12" t="s">
        <v>67</v>
      </c>
      <c r="AG10" s="12" t="s">
        <v>68</v>
      </c>
      <c r="AH10" s="12" t="s">
        <v>69</v>
      </c>
      <c r="AI10" s="12" t="s">
        <v>70</v>
      </c>
      <c r="AJ10" s="12">
        <v>85260.0</v>
      </c>
      <c r="AK10" s="12" t="s">
        <v>71</v>
      </c>
      <c r="AL10" s="12" t="s">
        <v>72</v>
      </c>
      <c r="AM10" s="14" t="s">
        <v>134</v>
      </c>
      <c r="AN10" s="11"/>
      <c r="AO10" s="12">
        <v>4725986.0</v>
      </c>
      <c r="AP10" s="12">
        <v>33.58586</v>
      </c>
      <c r="AQ10" s="12">
        <v>-111.868887</v>
      </c>
      <c r="AR10" s="12">
        <v>53.1</v>
      </c>
      <c r="AS10" s="11">
        <f t="shared" ref="AS10:AS12" si="4">AVERAGE($C$2:$C$596)</f>
        <v>206948.5429</v>
      </c>
      <c r="AT10" s="12">
        <v>10.49</v>
      </c>
      <c r="AU10" s="11">
        <f>IFERROR(($AS20-C20)/$AS20,0)</f>
        <v>-0.4184298954</v>
      </c>
      <c r="AV10" s="11">
        <f>$AS20-C20</f>
        <v>-86593.45714</v>
      </c>
      <c r="AW10" s="12">
        <v>113326.0</v>
      </c>
      <c r="AX10" s="12">
        <v>4725986.0</v>
      </c>
      <c r="AY10" s="12" t="s">
        <v>135</v>
      </c>
      <c r="AZ10" s="14" t="s">
        <v>136</v>
      </c>
      <c r="BA10" s="12" t="s">
        <v>137</v>
      </c>
      <c r="BB10" s="12" t="s">
        <v>138</v>
      </c>
      <c r="BC10" s="12" t="s">
        <v>139</v>
      </c>
      <c r="BD10" s="12" t="s">
        <v>79</v>
      </c>
      <c r="BE10" s="12" t="s">
        <v>140</v>
      </c>
      <c r="BF10" s="12" t="s">
        <v>81</v>
      </c>
      <c r="BG10" s="14" t="s">
        <v>141</v>
      </c>
      <c r="BH10" s="12" t="s">
        <v>142</v>
      </c>
      <c r="BI10" s="11"/>
      <c r="BJ10" s="11"/>
      <c r="BK10" s="11"/>
      <c r="BL10" s="11"/>
    </row>
    <row r="11">
      <c r="A11" s="12">
        <v>2.92608091E8</v>
      </c>
      <c r="B11" s="12" t="s">
        <v>133</v>
      </c>
      <c r="C11" s="12">
        <v>112135.0</v>
      </c>
      <c r="D11" s="12">
        <v>347599.0</v>
      </c>
      <c r="E11" s="12">
        <v>2803.38</v>
      </c>
      <c r="F11" s="12">
        <v>48.19</v>
      </c>
      <c r="G11" s="12">
        <v>164.0</v>
      </c>
      <c r="H11" s="12">
        <v>6.0</v>
      </c>
      <c r="I11" s="12">
        <v>5.0</v>
      </c>
      <c r="J11" s="12">
        <v>13.0</v>
      </c>
      <c r="K11" s="12" t="b">
        <v>1</v>
      </c>
      <c r="L11" s="12" t="b">
        <v>0</v>
      </c>
      <c r="M11" s="12" t="b">
        <v>1</v>
      </c>
      <c r="N11" s="12" t="b">
        <v>1</v>
      </c>
      <c r="O11" s="12" t="b">
        <v>1</v>
      </c>
      <c r="P11" s="12" t="b">
        <v>1</v>
      </c>
      <c r="Q11" s="12" t="b">
        <v>1</v>
      </c>
      <c r="R11" s="12" t="s">
        <v>63</v>
      </c>
      <c r="S11" s="12" t="s">
        <v>83</v>
      </c>
      <c r="T11" s="12" t="s">
        <v>65</v>
      </c>
      <c r="U11" s="12">
        <v>5.0</v>
      </c>
      <c r="V11" s="12">
        <v>9.0</v>
      </c>
      <c r="W11" s="12">
        <v>3.0</v>
      </c>
      <c r="X11" s="15">
        <v>46193.0</v>
      </c>
      <c r="Y11" s="12" t="s">
        <v>66</v>
      </c>
      <c r="Z11" s="12" t="b">
        <v>1</v>
      </c>
      <c r="AA11" s="12">
        <v>1135.0</v>
      </c>
      <c r="AB11" s="12" t="b">
        <v>1</v>
      </c>
      <c r="AC11" s="12">
        <v>40.0</v>
      </c>
      <c r="AD11" s="12">
        <v>9.0</v>
      </c>
      <c r="AE11" s="13">
        <v>46159.0</v>
      </c>
      <c r="AF11" s="12" t="s">
        <v>67</v>
      </c>
      <c r="AG11" s="12" t="s">
        <v>68</v>
      </c>
      <c r="AH11" s="12" t="s">
        <v>69</v>
      </c>
      <c r="AI11" s="12" t="s">
        <v>70</v>
      </c>
      <c r="AJ11" s="12">
        <v>85260.0</v>
      </c>
      <c r="AK11" s="12" t="s">
        <v>71</v>
      </c>
      <c r="AL11" s="12" t="s">
        <v>72</v>
      </c>
      <c r="AM11" s="14" t="s">
        <v>143</v>
      </c>
      <c r="AN11" s="12">
        <v>3.8406741E7</v>
      </c>
      <c r="AO11" s="11"/>
      <c r="AP11" s="12">
        <v>33.59053</v>
      </c>
      <c r="AQ11" s="12">
        <v>-111.9147</v>
      </c>
      <c r="AR11" s="12">
        <v>47.11</v>
      </c>
      <c r="AS11" s="11">
        <f t="shared" si="4"/>
        <v>206948.5429</v>
      </c>
      <c r="AT11" s="12">
        <v>1.08</v>
      </c>
      <c r="AU11" s="11">
        <f>IFERROR(($AS214-C214)/$AS214,0)</f>
        <v>0</v>
      </c>
      <c r="AV11" s="11">
        <f>$AS214-C214</f>
        <v>0</v>
      </c>
      <c r="AW11" s="12">
        <v>235464.0</v>
      </c>
      <c r="AX11" s="12">
        <v>3.8406741E7</v>
      </c>
      <c r="AY11" s="12" t="s">
        <v>144</v>
      </c>
      <c r="AZ11" s="14" t="s">
        <v>145</v>
      </c>
      <c r="BA11" s="12" t="s">
        <v>146</v>
      </c>
      <c r="BB11" s="12" t="s">
        <v>138</v>
      </c>
      <c r="BC11" s="12" t="s">
        <v>147</v>
      </c>
      <c r="BD11" s="12" t="s">
        <v>79</v>
      </c>
      <c r="BE11" s="12" t="s">
        <v>148</v>
      </c>
      <c r="BF11" s="12" t="s">
        <v>81</v>
      </c>
      <c r="BG11" s="14" t="s">
        <v>149</v>
      </c>
      <c r="BH11" s="12" t="s">
        <v>142</v>
      </c>
      <c r="BI11" s="11"/>
      <c r="BJ11" s="11"/>
      <c r="BK11" s="11"/>
      <c r="BL11" s="11"/>
    </row>
    <row r="12">
      <c r="A12" s="3" t="s">
        <v>150</v>
      </c>
      <c r="B12" s="3" t="s">
        <v>151</v>
      </c>
      <c r="C12" s="3">
        <v>114849.0</v>
      </c>
      <c r="D12" s="3">
        <v>143370.0</v>
      </c>
      <c r="E12" s="3">
        <v>1248.36</v>
      </c>
      <c r="F12" s="3">
        <v>38.17</v>
      </c>
      <c r="G12" s="3">
        <v>340.0</v>
      </c>
      <c r="H12" s="3">
        <v>5.0</v>
      </c>
      <c r="I12" s="3">
        <v>6.0</v>
      </c>
      <c r="J12" s="3">
        <v>14.0</v>
      </c>
      <c r="K12" s="3" t="b">
        <v>1</v>
      </c>
      <c r="L12" s="3" t="b">
        <v>1</v>
      </c>
      <c r="M12" s="3" t="b">
        <v>0</v>
      </c>
      <c r="N12" s="3" t="b">
        <v>1</v>
      </c>
      <c r="O12" s="3" t="b">
        <v>1</v>
      </c>
      <c r="P12" s="3" t="b">
        <v>1</v>
      </c>
      <c r="Q12" s="3" t="b">
        <v>1</v>
      </c>
      <c r="R12" s="3" t="s">
        <v>63</v>
      </c>
      <c r="S12" s="3" t="s">
        <v>152</v>
      </c>
      <c r="T12" s="3" t="s">
        <v>153</v>
      </c>
      <c r="U12" s="3">
        <v>5.0</v>
      </c>
      <c r="V12" s="3">
        <v>7.0</v>
      </c>
      <c r="W12" s="3">
        <v>1.0</v>
      </c>
      <c r="X12" s="6">
        <v>46058.0</v>
      </c>
      <c r="Y12" s="3" t="s">
        <v>66</v>
      </c>
      <c r="Z12" s="3" t="b">
        <v>0</v>
      </c>
      <c r="AA12" s="3">
        <v>0.0</v>
      </c>
      <c r="AB12" s="3" t="b">
        <v>1</v>
      </c>
      <c r="AC12" s="3">
        <v>92.0</v>
      </c>
      <c r="AD12" s="3">
        <v>24.0</v>
      </c>
      <c r="AE12" s="4">
        <v>46156.0</v>
      </c>
      <c r="AF12" s="3" t="s">
        <v>67</v>
      </c>
      <c r="AG12" s="3" t="s">
        <v>68</v>
      </c>
      <c r="AH12" s="3" t="s">
        <v>69</v>
      </c>
      <c r="AI12" s="3" t="s">
        <v>70</v>
      </c>
      <c r="AJ12" s="3">
        <v>85258.0</v>
      </c>
      <c r="AK12" s="3" t="s">
        <v>71</v>
      </c>
      <c r="AL12" s="3" t="s">
        <v>72</v>
      </c>
      <c r="AM12" s="5" t="s">
        <v>154</v>
      </c>
      <c r="AN12" s="3" t="s">
        <v>155</v>
      </c>
      <c r="AO12" s="2"/>
      <c r="AP12" s="3">
        <v>33.5487</v>
      </c>
      <c r="AQ12" s="3">
        <v>-111.9161</v>
      </c>
      <c r="AR12" s="3">
        <v>52.34</v>
      </c>
      <c r="AS12" s="2">
        <f t="shared" si="4"/>
        <v>206948.5429</v>
      </c>
      <c r="AT12" s="3">
        <v>-14.17</v>
      </c>
      <c r="AU12" s="2">
        <f>IFERROR(($AS145-C145)/$AS145,0)</f>
        <v>0</v>
      </c>
      <c r="AV12" s="2">
        <f>$AS145-C145</f>
        <v>0</v>
      </c>
      <c r="AW12" s="3">
        <v>28521.0</v>
      </c>
      <c r="AX12" s="3" t="s">
        <v>155</v>
      </c>
      <c r="AY12" s="3" t="s">
        <v>151</v>
      </c>
      <c r="AZ12" s="5" t="s">
        <v>156</v>
      </c>
      <c r="BA12" s="3" t="s">
        <v>157</v>
      </c>
      <c r="BB12" s="3" t="s">
        <v>158</v>
      </c>
      <c r="BC12" s="3" t="s">
        <v>159</v>
      </c>
      <c r="BD12" s="3" t="s">
        <v>79</v>
      </c>
      <c r="BE12" s="3" t="s">
        <v>160</v>
      </c>
      <c r="BF12" s="3" t="s">
        <v>81</v>
      </c>
      <c r="BG12" s="5" t="s">
        <v>161</v>
      </c>
      <c r="BH12" s="3" t="s">
        <v>162</v>
      </c>
      <c r="BI12" s="2"/>
      <c r="BJ12" s="2"/>
      <c r="BK12" s="2"/>
      <c r="BL12" s="2"/>
    </row>
    <row r="13">
      <c r="A13" s="3">
        <v>6.6945501E7</v>
      </c>
      <c r="B13" s="3" t="s">
        <v>163</v>
      </c>
      <c r="C13" s="3">
        <v>155037.0</v>
      </c>
      <c r="D13" s="3">
        <v>167597.0</v>
      </c>
      <c r="E13" s="3">
        <v>1211.23</v>
      </c>
      <c r="F13" s="3">
        <v>39.75</v>
      </c>
      <c r="G13" s="3">
        <v>335.0</v>
      </c>
      <c r="H13" s="3">
        <v>6.0</v>
      </c>
      <c r="I13" s="3">
        <v>5.0</v>
      </c>
      <c r="J13" s="3">
        <v>16.0</v>
      </c>
      <c r="K13" s="3" t="b">
        <v>1</v>
      </c>
      <c r="L13" s="3" t="b">
        <v>0</v>
      </c>
      <c r="M13" s="3" t="b">
        <v>1</v>
      </c>
      <c r="N13" s="3" t="b">
        <v>1</v>
      </c>
      <c r="O13" s="3" t="b">
        <v>1</v>
      </c>
      <c r="P13" s="3" t="b">
        <v>0</v>
      </c>
      <c r="Q13" s="3" t="b">
        <v>0</v>
      </c>
      <c r="R13" s="3" t="s">
        <v>63</v>
      </c>
      <c r="S13" s="3" t="s">
        <v>164</v>
      </c>
      <c r="T13" s="3" t="s">
        <v>165</v>
      </c>
      <c r="U13" s="3">
        <v>4.8</v>
      </c>
      <c r="V13" s="3">
        <v>221.0</v>
      </c>
      <c r="W13" s="3">
        <v>3.0</v>
      </c>
      <c r="X13" s="6">
        <v>46058.0</v>
      </c>
      <c r="Y13" s="3" t="s">
        <v>66</v>
      </c>
      <c r="Z13" s="3" t="b">
        <v>1</v>
      </c>
      <c r="AA13" s="3">
        <v>450.0</v>
      </c>
      <c r="AB13" s="3" t="b">
        <v>1</v>
      </c>
      <c r="AC13" s="3">
        <v>128.0</v>
      </c>
      <c r="AD13" s="3">
        <v>37.0</v>
      </c>
      <c r="AE13" s="4">
        <v>46158.0</v>
      </c>
      <c r="AF13" s="3" t="s">
        <v>166</v>
      </c>
      <c r="AG13" s="3" t="s">
        <v>166</v>
      </c>
      <c r="AH13" s="3" t="s">
        <v>166</v>
      </c>
      <c r="AI13" s="3" t="s">
        <v>70</v>
      </c>
      <c r="AJ13" s="3">
        <v>86004.0</v>
      </c>
      <c r="AK13" s="3" t="s">
        <v>71</v>
      </c>
      <c r="AL13" s="3" t="s">
        <v>167</v>
      </c>
      <c r="AM13" s="5" t="s">
        <v>168</v>
      </c>
      <c r="AN13" s="3">
        <v>1.2384486E7</v>
      </c>
      <c r="AO13" s="3" t="s">
        <v>169</v>
      </c>
      <c r="AP13" s="3">
        <v>35.1829</v>
      </c>
      <c r="AQ13" s="3">
        <v>-111.5899</v>
      </c>
      <c r="AR13" s="3">
        <v>43.98</v>
      </c>
      <c r="AS13" s="2">
        <f>AVERAGE($C$2:$C$130)</f>
        <v>206948.5429</v>
      </c>
      <c r="AT13" s="3">
        <v>-4.23</v>
      </c>
      <c r="AU13" s="2">
        <f>IFERROR(($AS19-C19)/$AS19,0)</f>
        <v>-0.2696392851</v>
      </c>
      <c r="AV13" s="2">
        <f>$AS19-C19</f>
        <v>-55801.45714</v>
      </c>
      <c r="AW13" s="3">
        <v>12560.0</v>
      </c>
      <c r="AX13" s="3">
        <v>1.2384486E7</v>
      </c>
      <c r="AY13" s="3" t="s">
        <v>170</v>
      </c>
      <c r="AZ13" s="5" t="s">
        <v>171</v>
      </c>
      <c r="BA13" s="3" t="s">
        <v>172</v>
      </c>
      <c r="BB13" s="3" t="s">
        <v>173</v>
      </c>
      <c r="BC13" s="3" t="s">
        <v>174</v>
      </c>
      <c r="BD13" s="3" t="s">
        <v>175</v>
      </c>
      <c r="BE13" s="3" t="s">
        <v>176</v>
      </c>
      <c r="BF13" s="3" t="s">
        <v>81</v>
      </c>
      <c r="BG13" s="5" t="s">
        <v>177</v>
      </c>
      <c r="BH13" s="3" t="s">
        <v>178</v>
      </c>
      <c r="BI13" s="2"/>
      <c r="BJ13" s="2"/>
      <c r="BK13" s="2"/>
      <c r="BL13" s="2"/>
    </row>
    <row r="14">
      <c r="A14" s="3">
        <v>5.39424614E8</v>
      </c>
      <c r="B14" s="3" t="s">
        <v>179</v>
      </c>
      <c r="C14" s="3">
        <v>158511.0</v>
      </c>
      <c r="D14" s="3">
        <v>266851.0</v>
      </c>
      <c r="E14" s="3">
        <v>1741.88</v>
      </c>
      <c r="F14" s="3">
        <v>48.92</v>
      </c>
      <c r="G14" s="3">
        <v>197.0</v>
      </c>
      <c r="H14" s="3">
        <v>6.0</v>
      </c>
      <c r="I14" s="3">
        <v>6.0</v>
      </c>
      <c r="J14" s="3">
        <v>16.0</v>
      </c>
      <c r="K14" s="3" t="b">
        <v>1</v>
      </c>
      <c r="L14" s="3" t="b">
        <v>1</v>
      </c>
      <c r="M14" s="3" t="b">
        <v>1</v>
      </c>
      <c r="N14" s="3" t="b">
        <v>1</v>
      </c>
      <c r="O14" s="3" t="b">
        <v>1</v>
      </c>
      <c r="P14" s="3" t="b">
        <v>0</v>
      </c>
      <c r="Q14" s="3" t="b">
        <v>1</v>
      </c>
      <c r="R14" s="3" t="s">
        <v>63</v>
      </c>
      <c r="S14" s="3" t="s">
        <v>64</v>
      </c>
      <c r="T14" s="3" t="s">
        <v>65</v>
      </c>
      <c r="U14" s="3">
        <v>4.9</v>
      </c>
      <c r="V14" s="3">
        <v>53.0</v>
      </c>
      <c r="W14" s="3">
        <v>5.0</v>
      </c>
      <c r="X14" s="6">
        <v>46058.0</v>
      </c>
      <c r="Y14" s="3" t="s">
        <v>66</v>
      </c>
      <c r="Z14" s="3" t="b">
        <v>0</v>
      </c>
      <c r="AA14" s="3">
        <v>828.0</v>
      </c>
      <c r="AB14" s="3" t="b">
        <v>0</v>
      </c>
      <c r="AC14" s="3">
        <v>91.0</v>
      </c>
      <c r="AD14" s="3">
        <v>24.0</v>
      </c>
      <c r="AE14" s="4">
        <v>46153.0</v>
      </c>
      <c r="AF14" s="3" t="s">
        <v>67</v>
      </c>
      <c r="AG14" s="3" t="s">
        <v>68</v>
      </c>
      <c r="AH14" s="3" t="s">
        <v>68</v>
      </c>
      <c r="AI14" s="3" t="s">
        <v>70</v>
      </c>
      <c r="AJ14" s="3">
        <v>85253.0</v>
      </c>
      <c r="AK14" s="3" t="s">
        <v>71</v>
      </c>
      <c r="AL14" s="3" t="s">
        <v>72</v>
      </c>
      <c r="AM14" s="5" t="s">
        <v>180</v>
      </c>
      <c r="AN14" s="3" t="s">
        <v>181</v>
      </c>
      <c r="AO14" s="3">
        <v>3716794.0</v>
      </c>
      <c r="AP14" s="3">
        <v>33.57687</v>
      </c>
      <c r="AQ14" s="3">
        <v>-111.95845</v>
      </c>
      <c r="AR14" s="3">
        <v>47.11</v>
      </c>
      <c r="AS14" s="2">
        <f t="shared" ref="AS14:AS23" si="5">AVERAGE($C$2:$C$596)</f>
        <v>206948.5429</v>
      </c>
      <c r="AT14" s="3">
        <v>1.81</v>
      </c>
      <c r="AU14" s="2">
        <f>IFERROR(($AS100-C100)/$AS100,0)</f>
        <v>-1.429821409</v>
      </c>
      <c r="AV14" s="2">
        <f>$AS100-C100</f>
        <v>-295899.4571</v>
      </c>
      <c r="AW14" s="3">
        <v>108340.0</v>
      </c>
      <c r="AX14" s="3" t="s">
        <v>181</v>
      </c>
      <c r="AY14" s="2"/>
      <c r="AZ14" s="5" t="s">
        <v>182</v>
      </c>
      <c r="BA14" s="3" t="s">
        <v>183</v>
      </c>
      <c r="BB14" s="3" t="s">
        <v>184</v>
      </c>
      <c r="BC14" s="5" t="s">
        <v>185</v>
      </c>
      <c r="BD14" s="3" t="s">
        <v>79</v>
      </c>
      <c r="BE14" s="3" t="s">
        <v>186</v>
      </c>
      <c r="BF14" s="3" t="s">
        <v>81</v>
      </c>
      <c r="BG14" s="5" t="s">
        <v>185</v>
      </c>
      <c r="BH14" s="3" t="s">
        <v>187</v>
      </c>
      <c r="BI14" s="2"/>
      <c r="BJ14" s="2"/>
      <c r="BK14" s="2"/>
      <c r="BL14" s="2"/>
    </row>
    <row r="15">
      <c r="A15" s="12">
        <v>3.0699006E8</v>
      </c>
      <c r="B15" s="12" t="s">
        <v>188</v>
      </c>
      <c r="C15" s="12">
        <v>164798.0</v>
      </c>
      <c r="D15" s="12">
        <v>215788.0</v>
      </c>
      <c r="E15" s="12">
        <v>5316.06</v>
      </c>
      <c r="F15" s="12">
        <v>25.62</v>
      </c>
      <c r="G15" s="12">
        <v>173.0</v>
      </c>
      <c r="H15" s="12">
        <v>5.0</v>
      </c>
      <c r="I15" s="12">
        <v>4.0</v>
      </c>
      <c r="J15" s="12">
        <v>12.0</v>
      </c>
      <c r="K15" s="12" t="b">
        <v>1</v>
      </c>
      <c r="L15" s="12" t="b">
        <v>0</v>
      </c>
      <c r="M15" s="12" t="b">
        <v>1</v>
      </c>
      <c r="N15" s="12" t="b">
        <v>1</v>
      </c>
      <c r="O15" s="12" t="b">
        <v>1</v>
      </c>
      <c r="P15" s="12" t="b">
        <v>1</v>
      </c>
      <c r="Q15" s="12" t="b">
        <v>1</v>
      </c>
      <c r="R15" s="12" t="s">
        <v>63</v>
      </c>
      <c r="S15" s="12" t="s">
        <v>64</v>
      </c>
      <c r="T15" s="12" t="s">
        <v>65</v>
      </c>
      <c r="U15" s="12">
        <v>0.0</v>
      </c>
      <c r="V15" s="12">
        <v>0.0</v>
      </c>
      <c r="W15" s="12">
        <v>51.0</v>
      </c>
      <c r="X15" s="15">
        <v>46193.0</v>
      </c>
      <c r="Y15" s="12" t="s">
        <v>66</v>
      </c>
      <c r="Z15" s="12" t="b">
        <v>0</v>
      </c>
      <c r="AA15" s="12">
        <v>694.0</v>
      </c>
      <c r="AB15" s="12" t="b">
        <v>1</v>
      </c>
      <c r="AC15" s="12">
        <v>31.0</v>
      </c>
      <c r="AD15" s="12">
        <v>7.0</v>
      </c>
      <c r="AE15" s="13">
        <v>46017.0</v>
      </c>
      <c r="AF15" s="12" t="s">
        <v>67</v>
      </c>
      <c r="AG15" s="12" t="s">
        <v>68</v>
      </c>
      <c r="AH15" s="12" t="s">
        <v>69</v>
      </c>
      <c r="AI15" s="12" t="s">
        <v>70</v>
      </c>
      <c r="AJ15" s="12">
        <v>85259.0</v>
      </c>
      <c r="AK15" s="12" t="s">
        <v>71</v>
      </c>
      <c r="AL15" s="12" t="s">
        <v>72</v>
      </c>
      <c r="AM15" s="14" t="s">
        <v>189</v>
      </c>
      <c r="AN15" s="12">
        <v>5.0792666E7</v>
      </c>
      <c r="AO15" s="11"/>
      <c r="AP15" s="12">
        <v>33.60129</v>
      </c>
      <c r="AQ15" s="12">
        <v>-111.85427</v>
      </c>
      <c r="AR15" s="12">
        <v>52.34</v>
      </c>
      <c r="AS15" s="11">
        <f t="shared" si="5"/>
        <v>206948.5429</v>
      </c>
      <c r="AT15" s="12">
        <v>-26.72</v>
      </c>
      <c r="AU15" s="11">
        <f>IFERROR(($AS132-C132)/$AS132,0)</f>
        <v>0</v>
      </c>
      <c r="AV15" s="11">
        <f>$AS132-C132</f>
        <v>0</v>
      </c>
      <c r="AW15" s="12">
        <v>50990.0</v>
      </c>
      <c r="AX15" s="12">
        <v>5.0792666E7</v>
      </c>
      <c r="AY15" s="12" t="s">
        <v>190</v>
      </c>
      <c r="AZ15" s="14" t="s">
        <v>191</v>
      </c>
      <c r="BA15" s="12" t="s">
        <v>192</v>
      </c>
      <c r="BB15" s="12" t="s">
        <v>193</v>
      </c>
      <c r="BC15" s="12" t="s">
        <v>194</v>
      </c>
      <c r="BD15" s="12" t="s">
        <v>79</v>
      </c>
      <c r="BE15" s="12" t="s">
        <v>195</v>
      </c>
      <c r="BF15" s="12" t="s">
        <v>81</v>
      </c>
      <c r="BG15" s="14" t="s">
        <v>196</v>
      </c>
      <c r="BH15" s="12" t="s">
        <v>197</v>
      </c>
      <c r="BI15" s="11"/>
      <c r="BJ15" s="11"/>
      <c r="BK15" s="11"/>
      <c r="BL15" s="11"/>
    </row>
    <row r="16">
      <c r="A16" s="12">
        <v>3.0699006E8</v>
      </c>
      <c r="B16" s="12" t="s">
        <v>188</v>
      </c>
      <c r="C16" s="12">
        <v>187291.0</v>
      </c>
      <c r="D16" s="12">
        <v>290407.0</v>
      </c>
      <c r="E16" s="12">
        <v>2926.42</v>
      </c>
      <c r="F16" s="12">
        <v>55.17</v>
      </c>
      <c r="G16" s="12">
        <v>239.0</v>
      </c>
      <c r="H16" s="12">
        <v>5.0</v>
      </c>
      <c r="I16" s="12">
        <v>5.0</v>
      </c>
      <c r="J16" s="12">
        <v>11.0</v>
      </c>
      <c r="K16" s="12" t="b">
        <v>1</v>
      </c>
      <c r="L16" s="12" t="b">
        <v>0</v>
      </c>
      <c r="M16" s="12" t="b">
        <v>1</v>
      </c>
      <c r="N16" s="12" t="b">
        <v>1</v>
      </c>
      <c r="O16" s="12" t="b">
        <v>1</v>
      </c>
      <c r="P16" s="12" t="b">
        <v>1</v>
      </c>
      <c r="Q16" s="12" t="b">
        <v>1</v>
      </c>
      <c r="R16" s="12" t="s">
        <v>63</v>
      </c>
      <c r="S16" s="12" t="s">
        <v>64</v>
      </c>
      <c r="T16" s="12" t="s">
        <v>65</v>
      </c>
      <c r="U16" s="12">
        <v>4.8</v>
      </c>
      <c r="V16" s="12">
        <v>24.0</v>
      </c>
      <c r="W16" s="12">
        <v>3.0</v>
      </c>
      <c r="X16" s="15">
        <v>46193.0</v>
      </c>
      <c r="Y16" s="12" t="s">
        <v>66</v>
      </c>
      <c r="Z16" s="12" t="b">
        <v>0</v>
      </c>
      <c r="AA16" s="12">
        <v>696.0</v>
      </c>
      <c r="AB16" s="12" t="b">
        <v>0</v>
      </c>
      <c r="AC16" s="12">
        <v>64.0</v>
      </c>
      <c r="AD16" s="12">
        <v>12.0</v>
      </c>
      <c r="AE16" s="13">
        <v>46010.0</v>
      </c>
      <c r="AF16" s="12" t="s">
        <v>67</v>
      </c>
      <c r="AG16" s="12" t="s">
        <v>68</v>
      </c>
      <c r="AH16" s="12" t="s">
        <v>69</v>
      </c>
      <c r="AI16" s="12" t="s">
        <v>70</v>
      </c>
      <c r="AJ16" s="12">
        <v>85259.0</v>
      </c>
      <c r="AK16" s="12" t="s">
        <v>71</v>
      </c>
      <c r="AL16" s="12" t="s">
        <v>72</v>
      </c>
      <c r="AM16" s="14" t="s">
        <v>198</v>
      </c>
      <c r="AN16" s="12">
        <v>5.0874678E7</v>
      </c>
      <c r="AO16" s="12">
        <v>2386494.0</v>
      </c>
      <c r="AP16" s="12">
        <v>33.5958</v>
      </c>
      <c r="AQ16" s="12">
        <v>-111.84984</v>
      </c>
      <c r="AR16" s="12">
        <v>52.34</v>
      </c>
      <c r="AS16" s="11">
        <f t="shared" si="5"/>
        <v>206948.5429</v>
      </c>
      <c r="AT16" s="12">
        <v>2.83</v>
      </c>
      <c r="AU16" s="11">
        <f>IFERROR(($AS109-C109)/$AS109,0)</f>
        <v>0</v>
      </c>
      <c r="AV16" s="11">
        <f>$AS109-C109</f>
        <v>0</v>
      </c>
      <c r="AW16" s="12">
        <v>103116.0</v>
      </c>
      <c r="AX16" s="12">
        <v>5.0874678E7</v>
      </c>
      <c r="AY16" s="12" t="s">
        <v>199</v>
      </c>
      <c r="AZ16" s="14" t="s">
        <v>200</v>
      </c>
      <c r="BA16" s="12" t="s">
        <v>201</v>
      </c>
      <c r="BB16" s="12" t="s">
        <v>193</v>
      </c>
      <c r="BC16" s="12" t="s">
        <v>194</v>
      </c>
      <c r="BD16" s="12" t="s">
        <v>79</v>
      </c>
      <c r="BE16" s="12" t="s">
        <v>195</v>
      </c>
      <c r="BF16" s="12" t="s">
        <v>81</v>
      </c>
      <c r="BG16" s="14" t="s">
        <v>196</v>
      </c>
      <c r="BH16" s="12" t="s">
        <v>197</v>
      </c>
      <c r="BI16" s="11"/>
      <c r="BJ16" s="11"/>
      <c r="BK16" s="11"/>
      <c r="BL16" s="11"/>
    </row>
    <row r="17">
      <c r="A17" s="3">
        <v>3.2808766E8</v>
      </c>
      <c r="B17" s="3" t="s">
        <v>188</v>
      </c>
      <c r="C17" s="3">
        <v>283285.0</v>
      </c>
      <c r="D17" s="3">
        <v>299441.0</v>
      </c>
      <c r="E17" s="3">
        <v>1940.31</v>
      </c>
      <c r="F17" s="3">
        <v>50.69</v>
      </c>
      <c r="G17" s="3">
        <v>334.0</v>
      </c>
      <c r="H17" s="3">
        <v>5.0</v>
      </c>
      <c r="I17" s="3">
        <v>5.0</v>
      </c>
      <c r="J17" s="3">
        <v>12.0</v>
      </c>
      <c r="K17" s="3" t="b">
        <v>1</v>
      </c>
      <c r="L17" s="3" t="b">
        <v>0</v>
      </c>
      <c r="M17" s="3" t="b">
        <v>1</v>
      </c>
      <c r="N17" s="3" t="b">
        <v>1</v>
      </c>
      <c r="O17" s="3" t="b">
        <v>1</v>
      </c>
      <c r="P17" s="3" t="b">
        <v>1</v>
      </c>
      <c r="Q17" s="3" t="b">
        <v>1</v>
      </c>
      <c r="R17" s="3" t="s">
        <v>63</v>
      </c>
      <c r="S17" s="3" t="s">
        <v>64</v>
      </c>
      <c r="T17" s="3" t="s">
        <v>65</v>
      </c>
      <c r="U17" s="3">
        <v>4.7</v>
      </c>
      <c r="V17" s="3">
        <v>34.0</v>
      </c>
      <c r="W17" s="3">
        <v>3.0</v>
      </c>
      <c r="X17" s="6">
        <v>46193.0</v>
      </c>
      <c r="Y17" s="3" t="s">
        <v>66</v>
      </c>
      <c r="Z17" s="3" t="b">
        <v>1</v>
      </c>
      <c r="AA17" s="3">
        <v>694.0</v>
      </c>
      <c r="AB17" s="3" t="b">
        <v>1</v>
      </c>
      <c r="AC17" s="3">
        <v>146.0</v>
      </c>
      <c r="AD17" s="3">
        <v>26.0</v>
      </c>
      <c r="AE17" s="4">
        <v>46155.0</v>
      </c>
      <c r="AF17" s="3" t="s">
        <v>67</v>
      </c>
      <c r="AG17" s="3" t="s">
        <v>68</v>
      </c>
      <c r="AH17" s="3" t="s">
        <v>69</v>
      </c>
      <c r="AI17" s="3" t="s">
        <v>70</v>
      </c>
      <c r="AJ17" s="3">
        <v>85259.0</v>
      </c>
      <c r="AK17" s="3" t="s">
        <v>71</v>
      </c>
      <c r="AL17" s="3" t="s">
        <v>72</v>
      </c>
      <c r="AM17" s="5" t="s">
        <v>202</v>
      </c>
      <c r="AN17" s="3">
        <v>5.0933917E7</v>
      </c>
      <c r="AO17" s="3">
        <v>2375268.0</v>
      </c>
      <c r="AP17" s="3">
        <v>33.59418</v>
      </c>
      <c r="AQ17" s="3">
        <v>-111.84976</v>
      </c>
      <c r="AR17" s="3">
        <v>52.34</v>
      </c>
      <c r="AS17" s="2">
        <f t="shared" si="5"/>
        <v>206948.5429</v>
      </c>
      <c r="AT17" s="3">
        <v>-1.65</v>
      </c>
      <c r="AU17" s="2">
        <f>IFERROR(($AS37-C37)/$AS37,0)</f>
        <v>0.2950179886</v>
      </c>
      <c r="AV17" s="2">
        <f>$AS37-C37</f>
        <v>61053.54286</v>
      </c>
      <c r="AW17" s="3">
        <v>16156.0</v>
      </c>
      <c r="AX17" s="3">
        <v>5.0933917E7</v>
      </c>
      <c r="AY17" s="3" t="s">
        <v>203</v>
      </c>
      <c r="AZ17" s="5" t="s">
        <v>204</v>
      </c>
      <c r="BA17" s="3" t="s">
        <v>205</v>
      </c>
      <c r="BB17" s="3" t="s">
        <v>193</v>
      </c>
      <c r="BC17" s="3" t="s">
        <v>194</v>
      </c>
      <c r="BD17" s="3" t="s">
        <v>79</v>
      </c>
      <c r="BE17" s="3" t="s">
        <v>195</v>
      </c>
      <c r="BF17" s="3" t="s">
        <v>81</v>
      </c>
      <c r="BG17" s="5" t="s">
        <v>196</v>
      </c>
      <c r="BH17" s="3" t="s">
        <v>197</v>
      </c>
      <c r="BI17" s="2"/>
      <c r="BJ17" s="2"/>
      <c r="BK17" s="2"/>
      <c r="BL17" s="2"/>
    </row>
    <row r="18">
      <c r="A18" s="12">
        <v>3.2808766E8</v>
      </c>
      <c r="B18" s="12" t="s">
        <v>188</v>
      </c>
      <c r="C18" s="12">
        <v>235097.0</v>
      </c>
      <c r="D18" s="12">
        <v>322593.0</v>
      </c>
      <c r="E18" s="12">
        <v>4274.49</v>
      </c>
      <c r="F18" s="12">
        <v>35.95</v>
      </c>
      <c r="G18" s="12">
        <v>153.0</v>
      </c>
      <c r="H18" s="12">
        <v>5.0</v>
      </c>
      <c r="I18" s="12">
        <v>5.0</v>
      </c>
      <c r="J18" s="12">
        <v>10.0</v>
      </c>
      <c r="K18" s="12" t="b">
        <v>1</v>
      </c>
      <c r="L18" s="12" t="b">
        <v>0</v>
      </c>
      <c r="M18" s="12" t="b">
        <v>1</v>
      </c>
      <c r="N18" s="12" t="b">
        <v>1</v>
      </c>
      <c r="O18" s="12" t="b">
        <v>1</v>
      </c>
      <c r="P18" s="12" t="b">
        <v>1</v>
      </c>
      <c r="Q18" s="12" t="b">
        <v>1</v>
      </c>
      <c r="R18" s="12" t="s">
        <v>63</v>
      </c>
      <c r="S18" s="12" t="s">
        <v>83</v>
      </c>
      <c r="T18" s="12" t="s">
        <v>65</v>
      </c>
      <c r="U18" s="12">
        <v>0.0</v>
      </c>
      <c r="V18" s="12">
        <v>0.0</v>
      </c>
      <c r="W18" s="12">
        <v>3.0</v>
      </c>
      <c r="X18" s="15">
        <v>46193.0</v>
      </c>
      <c r="Y18" s="12" t="s">
        <v>66</v>
      </c>
      <c r="Z18" s="12" t="b">
        <v>0</v>
      </c>
      <c r="AA18" s="12">
        <v>894.0</v>
      </c>
      <c r="AB18" s="12" t="b">
        <v>0</v>
      </c>
      <c r="AC18" s="12">
        <v>55.0</v>
      </c>
      <c r="AD18" s="12">
        <v>9.0</v>
      </c>
      <c r="AE18" s="13">
        <v>45995.0</v>
      </c>
      <c r="AF18" s="12" t="s">
        <v>67</v>
      </c>
      <c r="AG18" s="12" t="s">
        <v>68</v>
      </c>
      <c r="AH18" s="12" t="s">
        <v>69</v>
      </c>
      <c r="AI18" s="12" t="s">
        <v>70</v>
      </c>
      <c r="AJ18" s="12">
        <v>85259.0</v>
      </c>
      <c r="AK18" s="12" t="s">
        <v>71</v>
      </c>
      <c r="AL18" s="12" t="s">
        <v>72</v>
      </c>
      <c r="AM18" s="14" t="s">
        <v>206</v>
      </c>
      <c r="AN18" s="12">
        <v>5.2513449E7</v>
      </c>
      <c r="AO18" s="11"/>
      <c r="AP18" s="12">
        <v>33.59551</v>
      </c>
      <c r="AQ18" s="12">
        <v>-111.85032</v>
      </c>
      <c r="AR18" s="12">
        <v>52.34</v>
      </c>
      <c r="AS18" s="11">
        <f t="shared" si="5"/>
        <v>206948.5429</v>
      </c>
      <c r="AT18" s="12">
        <v>-16.39</v>
      </c>
      <c r="AU18" s="11">
        <f>IFERROR(($AS66-C66)/$AS66,0)</f>
        <v>-0.1910400363</v>
      </c>
      <c r="AV18" s="11">
        <f>$AS66-C66</f>
        <v>-39535.45714</v>
      </c>
      <c r="AW18" s="12">
        <v>87496.0</v>
      </c>
      <c r="AX18" s="12">
        <v>5.2513449E7</v>
      </c>
      <c r="AY18" s="12" t="s">
        <v>207</v>
      </c>
      <c r="AZ18" s="14" t="s">
        <v>208</v>
      </c>
      <c r="BA18" s="12" t="s">
        <v>207</v>
      </c>
      <c r="BB18" s="12" t="s">
        <v>193</v>
      </c>
      <c r="BC18" s="12" t="s">
        <v>194</v>
      </c>
      <c r="BD18" s="12" t="s">
        <v>79</v>
      </c>
      <c r="BE18" s="12" t="s">
        <v>195</v>
      </c>
      <c r="BF18" s="12" t="s">
        <v>81</v>
      </c>
      <c r="BG18" s="14" t="s">
        <v>196</v>
      </c>
      <c r="BH18" s="12" t="s">
        <v>197</v>
      </c>
      <c r="BI18" s="11"/>
      <c r="BJ18" s="11"/>
      <c r="BK18" s="11"/>
      <c r="BL18" s="11"/>
    </row>
    <row r="19">
      <c r="A19" s="12">
        <v>3.2808766E8</v>
      </c>
      <c r="B19" s="12" t="s">
        <v>188</v>
      </c>
      <c r="C19" s="12">
        <v>262750.0</v>
      </c>
      <c r="D19" s="12">
        <v>311150.0</v>
      </c>
      <c r="E19" s="12">
        <v>1799.66</v>
      </c>
      <c r="F19" s="12">
        <v>50.34</v>
      </c>
      <c r="G19" s="12">
        <v>293.0</v>
      </c>
      <c r="H19" s="12">
        <v>5.0</v>
      </c>
      <c r="I19" s="12">
        <v>4.0</v>
      </c>
      <c r="J19" s="12">
        <v>11.0</v>
      </c>
      <c r="K19" s="12" t="b">
        <v>1</v>
      </c>
      <c r="L19" s="12" t="b">
        <v>1</v>
      </c>
      <c r="M19" s="12" t="b">
        <v>1</v>
      </c>
      <c r="N19" s="12" t="b">
        <v>1</v>
      </c>
      <c r="O19" s="12" t="b">
        <v>1</v>
      </c>
      <c r="P19" s="12" t="b">
        <v>1</v>
      </c>
      <c r="Q19" s="12" t="b">
        <v>1</v>
      </c>
      <c r="R19" s="12" t="s">
        <v>63</v>
      </c>
      <c r="S19" s="12" t="s">
        <v>83</v>
      </c>
      <c r="T19" s="12" t="s">
        <v>65</v>
      </c>
      <c r="U19" s="12">
        <v>4.9</v>
      </c>
      <c r="V19" s="12">
        <v>19.0</v>
      </c>
      <c r="W19" s="12">
        <v>3.0</v>
      </c>
      <c r="X19" s="15">
        <v>46193.0</v>
      </c>
      <c r="Y19" s="12" t="s">
        <v>66</v>
      </c>
      <c r="Z19" s="12" t="b">
        <v>1</v>
      </c>
      <c r="AA19" s="12">
        <v>694.0</v>
      </c>
      <c r="AB19" s="12" t="b">
        <v>1</v>
      </c>
      <c r="AC19" s="12">
        <v>146.0</v>
      </c>
      <c r="AD19" s="12">
        <v>29.0</v>
      </c>
      <c r="AE19" s="13">
        <v>46153.0</v>
      </c>
      <c r="AF19" s="12" t="s">
        <v>67</v>
      </c>
      <c r="AG19" s="12" t="s">
        <v>68</v>
      </c>
      <c r="AH19" s="12" t="s">
        <v>69</v>
      </c>
      <c r="AI19" s="12" t="s">
        <v>70</v>
      </c>
      <c r="AJ19" s="12">
        <v>85250.0</v>
      </c>
      <c r="AK19" s="12" t="s">
        <v>71</v>
      </c>
      <c r="AL19" s="12" t="s">
        <v>72</v>
      </c>
      <c r="AM19" s="14" t="s">
        <v>209</v>
      </c>
      <c r="AN19" s="12" t="s">
        <v>210</v>
      </c>
      <c r="AO19" s="12">
        <v>2845549.0</v>
      </c>
      <c r="AP19" s="12">
        <v>33.51602</v>
      </c>
      <c r="AQ19" s="12">
        <v>-111.92124</v>
      </c>
      <c r="AR19" s="12">
        <v>52.34</v>
      </c>
      <c r="AS19" s="11">
        <f t="shared" si="5"/>
        <v>206948.5429</v>
      </c>
      <c r="AT19" s="12">
        <v>-2.0</v>
      </c>
      <c r="AU19" s="11">
        <f>IFERROR(($AS43-C43)/$AS43,0)</f>
        <v>0.1145914947</v>
      </c>
      <c r="AV19" s="11">
        <f>$AS43-C43</f>
        <v>23714.54286</v>
      </c>
      <c r="AW19" s="12">
        <v>48400.0</v>
      </c>
      <c r="AX19" s="12" t="s">
        <v>210</v>
      </c>
      <c r="AY19" s="12" t="s">
        <v>211</v>
      </c>
      <c r="AZ19" s="14" t="s">
        <v>212</v>
      </c>
      <c r="BA19" s="12" t="s">
        <v>213</v>
      </c>
      <c r="BB19" s="12" t="s">
        <v>193</v>
      </c>
      <c r="BC19" s="12" t="s">
        <v>194</v>
      </c>
      <c r="BD19" s="12" t="s">
        <v>79</v>
      </c>
      <c r="BE19" s="12" t="s">
        <v>195</v>
      </c>
      <c r="BF19" s="12" t="s">
        <v>81</v>
      </c>
      <c r="BG19" s="14" t="s">
        <v>196</v>
      </c>
      <c r="BH19" s="12" t="s">
        <v>197</v>
      </c>
      <c r="BI19" s="11"/>
      <c r="BJ19" s="11"/>
      <c r="BK19" s="11"/>
      <c r="BL19" s="11"/>
    </row>
    <row r="20">
      <c r="A20" s="12">
        <v>3.0699006E8</v>
      </c>
      <c r="B20" s="12" t="s">
        <v>188</v>
      </c>
      <c r="C20" s="12">
        <v>293542.0</v>
      </c>
      <c r="D20" s="12">
        <v>360832.0</v>
      </c>
      <c r="E20" s="12">
        <v>2386.52</v>
      </c>
      <c r="F20" s="12">
        <v>53.25</v>
      </c>
      <c r="G20" s="12">
        <v>253.0</v>
      </c>
      <c r="H20" s="12">
        <v>5.0</v>
      </c>
      <c r="I20" s="12">
        <v>4.0</v>
      </c>
      <c r="J20" s="12">
        <v>10.0</v>
      </c>
      <c r="K20" s="12" t="b">
        <v>1</v>
      </c>
      <c r="L20" s="12" t="b">
        <v>1</v>
      </c>
      <c r="M20" s="12" t="b">
        <v>1</v>
      </c>
      <c r="N20" s="12" t="b">
        <v>1</v>
      </c>
      <c r="O20" s="12" t="b">
        <v>1</v>
      </c>
      <c r="P20" s="12" t="b">
        <v>1</v>
      </c>
      <c r="Q20" s="12" t="b">
        <v>1</v>
      </c>
      <c r="R20" s="12" t="s">
        <v>63</v>
      </c>
      <c r="S20" s="12" t="s">
        <v>83</v>
      </c>
      <c r="T20" s="12" t="s">
        <v>65</v>
      </c>
      <c r="U20" s="12">
        <v>4.7</v>
      </c>
      <c r="V20" s="12">
        <v>15.0</v>
      </c>
      <c r="W20" s="12">
        <v>3.0</v>
      </c>
      <c r="X20" s="15">
        <v>46193.0</v>
      </c>
      <c r="Y20" s="12" t="s">
        <v>66</v>
      </c>
      <c r="Z20" s="12" t="b">
        <v>0</v>
      </c>
      <c r="AA20" s="12">
        <v>694.0</v>
      </c>
      <c r="AB20" s="12" t="b">
        <v>1</v>
      </c>
      <c r="AC20" s="12">
        <v>123.0</v>
      </c>
      <c r="AD20" s="12">
        <v>27.0</v>
      </c>
      <c r="AE20" s="13">
        <v>46007.0</v>
      </c>
      <c r="AF20" s="12" t="s">
        <v>67</v>
      </c>
      <c r="AG20" s="12" t="s">
        <v>68</v>
      </c>
      <c r="AH20" s="12" t="s">
        <v>69</v>
      </c>
      <c r="AI20" s="12" t="s">
        <v>70</v>
      </c>
      <c r="AJ20" s="12">
        <v>85250.0</v>
      </c>
      <c r="AK20" s="12" t="s">
        <v>71</v>
      </c>
      <c r="AL20" s="12" t="s">
        <v>72</v>
      </c>
      <c r="AM20" s="14" t="s">
        <v>214</v>
      </c>
      <c r="AN20" s="12" t="s">
        <v>215</v>
      </c>
      <c r="AO20" s="12">
        <v>2894288.0</v>
      </c>
      <c r="AP20" s="12">
        <v>33.51617</v>
      </c>
      <c r="AQ20" s="12">
        <v>-111.92209</v>
      </c>
      <c r="AR20" s="12">
        <v>52.34</v>
      </c>
      <c r="AS20" s="11">
        <f t="shared" si="5"/>
        <v>206948.5429</v>
      </c>
      <c r="AT20" s="12">
        <v>0.91</v>
      </c>
      <c r="AU20" s="11">
        <f>IFERROR(($AS21-C21)/$AS21,0)</f>
        <v>0.2065998739</v>
      </c>
      <c r="AV20" s="11">
        <f>$AS21-C21</f>
        <v>42755.54286</v>
      </c>
      <c r="AW20" s="12">
        <v>67290.0</v>
      </c>
      <c r="AX20" s="12" t="s">
        <v>215</v>
      </c>
      <c r="AY20" s="12" t="s">
        <v>216</v>
      </c>
      <c r="AZ20" s="14" t="s">
        <v>217</v>
      </c>
      <c r="BA20" s="12" t="s">
        <v>218</v>
      </c>
      <c r="BB20" s="12" t="s">
        <v>193</v>
      </c>
      <c r="BC20" s="12" t="s">
        <v>194</v>
      </c>
      <c r="BD20" s="12" t="s">
        <v>79</v>
      </c>
      <c r="BE20" s="12" t="s">
        <v>195</v>
      </c>
      <c r="BF20" s="12" t="s">
        <v>81</v>
      </c>
      <c r="BG20" s="14" t="s">
        <v>196</v>
      </c>
      <c r="BH20" s="12" t="s">
        <v>197</v>
      </c>
      <c r="BI20" s="11"/>
      <c r="BJ20" s="11"/>
      <c r="BK20" s="11"/>
      <c r="BL20" s="11"/>
    </row>
    <row r="21">
      <c r="A21" s="12">
        <v>4.90609566E8</v>
      </c>
      <c r="B21" s="12" t="s">
        <v>219</v>
      </c>
      <c r="C21" s="12">
        <v>164193.0</v>
      </c>
      <c r="D21" s="12">
        <v>261950.0</v>
      </c>
      <c r="E21" s="12">
        <v>2052.41</v>
      </c>
      <c r="F21" s="12">
        <v>36.04</v>
      </c>
      <c r="G21" s="12">
        <v>252.0</v>
      </c>
      <c r="H21" s="12">
        <v>5.0</v>
      </c>
      <c r="I21" s="12">
        <v>5.0</v>
      </c>
      <c r="J21" s="12">
        <v>11.0</v>
      </c>
      <c r="K21" s="12" t="b">
        <v>1</v>
      </c>
      <c r="L21" s="12" t="b">
        <v>0</v>
      </c>
      <c r="M21" s="12" t="b">
        <v>1</v>
      </c>
      <c r="N21" s="12" t="b">
        <v>1</v>
      </c>
      <c r="O21" s="12" t="b">
        <v>1</v>
      </c>
      <c r="P21" s="12" t="b">
        <v>1</v>
      </c>
      <c r="Q21" s="12" t="b">
        <v>1</v>
      </c>
      <c r="R21" s="12" t="s">
        <v>63</v>
      </c>
      <c r="S21" s="12" t="s">
        <v>64</v>
      </c>
      <c r="T21" s="12" t="s">
        <v>65</v>
      </c>
      <c r="U21" s="12">
        <v>4.4</v>
      </c>
      <c r="V21" s="12">
        <v>8.0</v>
      </c>
      <c r="W21" s="12">
        <v>3.0</v>
      </c>
      <c r="X21" s="15">
        <v>46193.0</v>
      </c>
      <c r="Y21" s="12" t="s">
        <v>66</v>
      </c>
      <c r="Z21" s="12" t="b">
        <v>1</v>
      </c>
      <c r="AA21" s="12">
        <v>694.0</v>
      </c>
      <c r="AB21" s="12" t="b">
        <v>1</v>
      </c>
      <c r="AC21" s="12">
        <v>80.0</v>
      </c>
      <c r="AD21" s="12">
        <v>17.0</v>
      </c>
      <c r="AE21" s="13">
        <v>46155.0</v>
      </c>
      <c r="AF21" s="12" t="s">
        <v>67</v>
      </c>
      <c r="AG21" s="12" t="s">
        <v>68</v>
      </c>
      <c r="AH21" s="12" t="s">
        <v>69</v>
      </c>
      <c r="AI21" s="12" t="s">
        <v>70</v>
      </c>
      <c r="AJ21" s="12">
        <v>85259.0</v>
      </c>
      <c r="AK21" s="12" t="s">
        <v>71</v>
      </c>
      <c r="AL21" s="12" t="s">
        <v>72</v>
      </c>
      <c r="AM21" s="14" t="s">
        <v>220</v>
      </c>
      <c r="AN21" s="12" t="s">
        <v>221</v>
      </c>
      <c r="AO21" s="12">
        <v>3192135.0</v>
      </c>
      <c r="AP21" s="12">
        <v>33.59404</v>
      </c>
      <c r="AQ21" s="12">
        <v>-111.84829</v>
      </c>
      <c r="AR21" s="12">
        <v>52.34</v>
      </c>
      <c r="AS21" s="11">
        <f t="shared" si="5"/>
        <v>206948.5429</v>
      </c>
      <c r="AT21" s="12">
        <v>-16.3</v>
      </c>
      <c r="AU21" s="11">
        <f>IFERROR(($AS113-C113)/$AS113,0)</f>
        <v>0</v>
      </c>
      <c r="AV21" s="11">
        <f>$AS113-C113</f>
        <v>0</v>
      </c>
      <c r="AW21" s="12">
        <v>97757.0</v>
      </c>
      <c r="AX21" s="12" t="s">
        <v>221</v>
      </c>
      <c r="AY21" s="12" t="s">
        <v>207</v>
      </c>
      <c r="AZ21" s="14" t="s">
        <v>222</v>
      </c>
      <c r="BA21" s="12" t="s">
        <v>223</v>
      </c>
      <c r="BB21" s="12" t="s">
        <v>193</v>
      </c>
      <c r="BC21" s="12" t="s">
        <v>194</v>
      </c>
      <c r="BD21" s="12" t="s">
        <v>79</v>
      </c>
      <c r="BE21" s="12" t="s">
        <v>224</v>
      </c>
      <c r="BF21" s="12" t="s">
        <v>81</v>
      </c>
      <c r="BG21" s="14" t="s">
        <v>225</v>
      </c>
      <c r="BH21" s="12" t="s">
        <v>197</v>
      </c>
      <c r="BI21" s="11"/>
      <c r="BJ21" s="11"/>
      <c r="BK21" s="11"/>
      <c r="BL21" s="11"/>
    </row>
    <row r="22">
      <c r="A22" s="12">
        <v>4.90609566E8</v>
      </c>
      <c r="B22" s="12" t="s">
        <v>219</v>
      </c>
      <c r="C22" s="12">
        <v>270659.0</v>
      </c>
      <c r="D22" s="12">
        <v>315597.0</v>
      </c>
      <c r="E22" s="12">
        <v>2114.52</v>
      </c>
      <c r="F22" s="12">
        <v>51.61</v>
      </c>
      <c r="G22" s="12">
        <v>272.0</v>
      </c>
      <c r="H22" s="12">
        <v>5.0</v>
      </c>
      <c r="I22" s="12">
        <v>4.0</v>
      </c>
      <c r="J22" s="12">
        <v>11.0</v>
      </c>
      <c r="K22" s="12" t="b">
        <v>1</v>
      </c>
      <c r="L22" s="12" t="b">
        <v>1</v>
      </c>
      <c r="M22" s="12" t="b">
        <v>1</v>
      </c>
      <c r="N22" s="12" t="b">
        <v>1</v>
      </c>
      <c r="O22" s="12" t="b">
        <v>1</v>
      </c>
      <c r="P22" s="12" t="b">
        <v>1</v>
      </c>
      <c r="Q22" s="12" t="b">
        <v>1</v>
      </c>
      <c r="R22" s="12" t="s">
        <v>63</v>
      </c>
      <c r="S22" s="12" t="s">
        <v>64</v>
      </c>
      <c r="T22" s="12" t="s">
        <v>65</v>
      </c>
      <c r="U22" s="12">
        <v>4.9</v>
      </c>
      <c r="V22" s="12">
        <v>30.0</v>
      </c>
      <c r="W22" s="12">
        <v>3.0</v>
      </c>
      <c r="X22" s="15">
        <v>46193.0</v>
      </c>
      <c r="Y22" s="12" t="s">
        <v>66</v>
      </c>
      <c r="Z22" s="12" t="b">
        <v>1</v>
      </c>
      <c r="AA22" s="12">
        <v>696.0</v>
      </c>
      <c r="AB22" s="12" t="b">
        <v>1</v>
      </c>
      <c r="AC22" s="12">
        <v>128.0</v>
      </c>
      <c r="AD22" s="12">
        <v>25.0</v>
      </c>
      <c r="AE22" s="13">
        <v>46153.0</v>
      </c>
      <c r="AF22" s="12" t="s">
        <v>67</v>
      </c>
      <c r="AG22" s="12" t="s">
        <v>68</v>
      </c>
      <c r="AH22" s="12" t="s">
        <v>69</v>
      </c>
      <c r="AI22" s="12" t="s">
        <v>70</v>
      </c>
      <c r="AJ22" s="12">
        <v>85250.0</v>
      </c>
      <c r="AK22" s="12" t="s">
        <v>71</v>
      </c>
      <c r="AL22" s="12" t="s">
        <v>72</v>
      </c>
      <c r="AM22" s="14" t="s">
        <v>226</v>
      </c>
      <c r="AN22" s="12" t="s">
        <v>227</v>
      </c>
      <c r="AO22" s="11"/>
      <c r="AP22" s="12">
        <v>33.5164</v>
      </c>
      <c r="AQ22" s="12">
        <v>-111.9209</v>
      </c>
      <c r="AR22" s="12">
        <v>52.34</v>
      </c>
      <c r="AS22" s="11">
        <f t="shared" si="5"/>
        <v>206948.5429</v>
      </c>
      <c r="AT22" s="12">
        <v>-0.73</v>
      </c>
      <c r="AU22" s="11">
        <f>IFERROR(($AS29-C29)/$AS29,0)</f>
        <v>-0.00217183043</v>
      </c>
      <c r="AV22" s="11">
        <f>$AS29-C29</f>
        <v>-449.4571429</v>
      </c>
      <c r="AW22" s="12">
        <v>44938.0</v>
      </c>
      <c r="AX22" s="12" t="s">
        <v>227</v>
      </c>
      <c r="AY22" s="12" t="s">
        <v>219</v>
      </c>
      <c r="AZ22" s="14" t="s">
        <v>228</v>
      </c>
      <c r="BA22" s="12" t="s">
        <v>229</v>
      </c>
      <c r="BB22" s="12" t="s">
        <v>193</v>
      </c>
      <c r="BC22" s="12" t="s">
        <v>194</v>
      </c>
      <c r="BD22" s="12" t="s">
        <v>79</v>
      </c>
      <c r="BE22" s="12" t="s">
        <v>230</v>
      </c>
      <c r="BF22" s="12" t="s">
        <v>81</v>
      </c>
      <c r="BG22" s="14" t="s">
        <v>225</v>
      </c>
      <c r="BH22" s="12" t="s">
        <v>197</v>
      </c>
      <c r="BI22" s="11"/>
      <c r="BJ22" s="11"/>
      <c r="BK22" s="11"/>
      <c r="BL22" s="11"/>
    </row>
    <row r="23">
      <c r="A23" s="12">
        <v>2.92608091E8</v>
      </c>
      <c r="B23" s="12" t="s">
        <v>231</v>
      </c>
      <c r="C23" s="12">
        <v>349104.0</v>
      </c>
      <c r="D23" s="12">
        <v>404699.0</v>
      </c>
      <c r="E23" s="12">
        <v>2327.36</v>
      </c>
      <c r="F23" s="12">
        <v>52.63</v>
      </c>
      <c r="G23" s="12">
        <v>307.0</v>
      </c>
      <c r="H23" s="12">
        <v>8.0</v>
      </c>
      <c r="I23" s="12">
        <v>6.0</v>
      </c>
      <c r="J23" s="12">
        <v>16.0</v>
      </c>
      <c r="K23" s="12" t="b">
        <v>1</v>
      </c>
      <c r="L23" s="12" t="b">
        <v>1</v>
      </c>
      <c r="M23" s="12" t="b">
        <v>1</v>
      </c>
      <c r="N23" s="12" t="b">
        <v>1</v>
      </c>
      <c r="O23" s="12" t="b">
        <v>1</v>
      </c>
      <c r="P23" s="12" t="b">
        <v>1</v>
      </c>
      <c r="Q23" s="12" t="b">
        <v>1</v>
      </c>
      <c r="R23" s="12" t="s">
        <v>63</v>
      </c>
      <c r="S23" s="12" t="s">
        <v>64</v>
      </c>
      <c r="T23" s="12" t="s">
        <v>65</v>
      </c>
      <c r="U23" s="12">
        <v>4.95</v>
      </c>
      <c r="V23" s="12">
        <v>19.0</v>
      </c>
      <c r="W23" s="12">
        <v>3.0</v>
      </c>
      <c r="X23" s="15">
        <v>46193.0</v>
      </c>
      <c r="Y23" s="12" t="s">
        <v>66</v>
      </c>
      <c r="Z23" s="12" t="b">
        <v>1</v>
      </c>
      <c r="AA23" s="12">
        <v>1278.0</v>
      </c>
      <c r="AB23" s="12" t="b">
        <v>1</v>
      </c>
      <c r="AC23" s="12">
        <v>150.0</v>
      </c>
      <c r="AD23" s="12">
        <v>39.0</v>
      </c>
      <c r="AE23" s="13">
        <v>46159.0</v>
      </c>
      <c r="AF23" s="12" t="s">
        <v>67</v>
      </c>
      <c r="AG23" s="12" t="s">
        <v>68</v>
      </c>
      <c r="AH23" s="12" t="s">
        <v>69</v>
      </c>
      <c r="AI23" s="12" t="s">
        <v>70</v>
      </c>
      <c r="AJ23" s="12">
        <v>85260.0</v>
      </c>
      <c r="AK23" s="12" t="s">
        <v>71</v>
      </c>
      <c r="AL23" s="12" t="s">
        <v>72</v>
      </c>
      <c r="AM23" s="14" t="s">
        <v>232</v>
      </c>
      <c r="AN23" s="12">
        <v>3.8406831E7</v>
      </c>
      <c r="AO23" s="11"/>
      <c r="AP23" s="12">
        <v>33.58754</v>
      </c>
      <c r="AQ23" s="12">
        <v>-111.89465</v>
      </c>
      <c r="AR23" s="12">
        <v>53.1</v>
      </c>
      <c r="AS23" s="11">
        <f t="shared" si="5"/>
        <v>206948.5429</v>
      </c>
      <c r="AT23" s="12">
        <v>-0.47</v>
      </c>
      <c r="AU23" s="11">
        <f>IFERROR(($AS33-C33)/$AS33,0)</f>
        <v>0.230953754</v>
      </c>
      <c r="AV23" s="11">
        <f>$AS33-C33</f>
        <v>47795.54286</v>
      </c>
      <c r="AW23" s="12">
        <v>55595.0</v>
      </c>
      <c r="AX23" s="12">
        <v>3.8406831E7</v>
      </c>
      <c r="AY23" s="12" t="s">
        <v>233</v>
      </c>
      <c r="AZ23" s="14" t="s">
        <v>234</v>
      </c>
      <c r="BA23" s="12" t="s">
        <v>233</v>
      </c>
      <c r="BB23" s="12" t="s">
        <v>235</v>
      </c>
      <c r="BC23" s="12" t="s">
        <v>236</v>
      </c>
      <c r="BD23" s="12" t="s">
        <v>79</v>
      </c>
      <c r="BE23" s="12" t="s">
        <v>237</v>
      </c>
      <c r="BF23" s="12" t="s">
        <v>81</v>
      </c>
      <c r="BG23" s="14" t="s">
        <v>238</v>
      </c>
      <c r="BH23" s="12" t="s">
        <v>239</v>
      </c>
      <c r="BI23" s="11"/>
      <c r="BJ23" s="11"/>
      <c r="BK23" s="11"/>
      <c r="BL23" s="11"/>
    </row>
    <row r="24">
      <c r="B24" s="1" t="s">
        <v>231</v>
      </c>
      <c r="C24" s="1">
        <v>226726.0</v>
      </c>
      <c r="D24" s="1">
        <v>233307.0</v>
      </c>
      <c r="E24" s="1">
        <v>1596.66</v>
      </c>
      <c r="F24" s="1">
        <v>43.29</v>
      </c>
      <c r="G24" s="1">
        <v>355.0</v>
      </c>
      <c r="H24" s="1">
        <v>8.0</v>
      </c>
      <c r="I24" s="1">
        <v>5.0</v>
      </c>
      <c r="J24" s="1">
        <v>23.0</v>
      </c>
      <c r="K24" s="1" t="b">
        <v>1</v>
      </c>
      <c r="L24" s="1" t="b">
        <v>1</v>
      </c>
      <c r="M24" s="1" t="b">
        <v>1</v>
      </c>
      <c r="N24" s="1" t="b">
        <v>1</v>
      </c>
      <c r="O24" s="1" t="b">
        <v>1</v>
      </c>
      <c r="P24" s="1" t="b">
        <v>1</v>
      </c>
      <c r="Q24" s="1" t="b">
        <v>1</v>
      </c>
      <c r="R24" s="1" t="s">
        <v>63</v>
      </c>
      <c r="S24" s="1" t="s">
        <v>64</v>
      </c>
      <c r="T24" s="1" t="s">
        <v>65</v>
      </c>
      <c r="U24" s="1">
        <v>5.0</v>
      </c>
      <c r="V24" s="1">
        <v>68.0</v>
      </c>
      <c r="W24" s="1">
        <v>3.0</v>
      </c>
      <c r="X24" s="1">
        <v>1.0</v>
      </c>
      <c r="Y24" s="1" t="s">
        <v>66</v>
      </c>
      <c r="Z24" s="1" t="b">
        <v>0</v>
      </c>
      <c r="AA24" s="1">
        <v>725.0</v>
      </c>
      <c r="AB24" s="1" t="b">
        <v>0</v>
      </c>
      <c r="AC24" s="1">
        <v>142.0</v>
      </c>
      <c r="AD24" s="1">
        <v>39.0</v>
      </c>
      <c r="AE24" s="8">
        <v>46155.0</v>
      </c>
      <c r="AF24" s="1" t="s">
        <v>67</v>
      </c>
      <c r="AG24" s="1" t="s">
        <v>102</v>
      </c>
      <c r="AH24" s="1" t="s">
        <v>69</v>
      </c>
      <c r="AI24" s="1" t="s">
        <v>70</v>
      </c>
      <c r="AJ24" s="1">
        <v>85266.0</v>
      </c>
      <c r="AK24" s="1" t="s">
        <v>71</v>
      </c>
      <c r="AL24" s="1" t="s">
        <v>72</v>
      </c>
      <c r="AM24" s="9" t="s">
        <v>240</v>
      </c>
      <c r="AO24" s="1" t="s">
        <v>241</v>
      </c>
      <c r="AP24" s="1">
        <v>33.730784</v>
      </c>
      <c r="AQ24" s="1">
        <v>-111.912528</v>
      </c>
      <c r="AR24" s="1">
        <v>49.3</v>
      </c>
      <c r="AS24" s="10">
        <f>AVERAGE($C$2:$C$329)</f>
        <v>206948.5429</v>
      </c>
      <c r="AT24" s="1">
        <v>-6.01</v>
      </c>
      <c r="AU24" s="10">
        <f>IFERROR((#REF!-#REF!)/#REF!,0)</f>
        <v>0</v>
      </c>
      <c r="AV24" s="10" t="str">
        <f>#REF!-#REF!</f>
        <v>#REF!</v>
      </c>
      <c r="AW24" s="1">
        <v>6581.0</v>
      </c>
      <c r="AX24" s="1" t="s">
        <v>241</v>
      </c>
      <c r="AY24" s="1" t="s">
        <v>242</v>
      </c>
      <c r="AZ24" s="9" t="s">
        <v>243</v>
      </c>
      <c r="BA24" s="1" t="s">
        <v>242</v>
      </c>
      <c r="BB24" s="1" t="s">
        <v>235</v>
      </c>
      <c r="BC24" s="1" t="s">
        <v>244</v>
      </c>
      <c r="BD24" s="1" t="s">
        <v>79</v>
      </c>
      <c r="BE24" s="1" t="s">
        <v>245</v>
      </c>
      <c r="BF24" s="1" t="s">
        <v>81</v>
      </c>
      <c r="BG24" s="9" t="s">
        <v>246</v>
      </c>
      <c r="BH24" s="1" t="s">
        <v>239</v>
      </c>
    </row>
    <row r="25">
      <c r="A25" s="16" t="s">
        <v>247</v>
      </c>
      <c r="B25" s="16" t="s">
        <v>247</v>
      </c>
      <c r="C25" s="17">
        <v>154819.0</v>
      </c>
      <c r="D25" s="17">
        <v>233958.0</v>
      </c>
      <c r="E25" s="17">
        <v>2150.26</v>
      </c>
      <c r="F25" s="17">
        <v>44.72</v>
      </c>
      <c r="G25" s="17">
        <v>252.0</v>
      </c>
      <c r="H25" s="17">
        <v>8.0</v>
      </c>
      <c r="I25" s="17">
        <v>5.0</v>
      </c>
      <c r="J25" s="17">
        <v>20.0</v>
      </c>
      <c r="K25" s="17" t="b">
        <v>1</v>
      </c>
      <c r="L25" s="17" t="b">
        <v>1</v>
      </c>
      <c r="M25" s="17" t="b">
        <v>1</v>
      </c>
      <c r="N25" s="17" t="b">
        <v>1</v>
      </c>
      <c r="O25" s="17" t="b">
        <v>1</v>
      </c>
      <c r="P25" s="17" t="b">
        <v>1</v>
      </c>
      <c r="Q25" s="17" t="b">
        <v>1</v>
      </c>
      <c r="R25" s="17" t="s">
        <v>63</v>
      </c>
      <c r="S25" s="17" t="s">
        <v>64</v>
      </c>
      <c r="T25" s="17" t="s">
        <v>65</v>
      </c>
      <c r="U25" s="17">
        <v>5.0</v>
      </c>
      <c r="V25" s="17">
        <v>3.0</v>
      </c>
      <c r="W25" s="17">
        <v>3.0</v>
      </c>
      <c r="X25" s="18">
        <v>46193.0</v>
      </c>
      <c r="Y25" s="17" t="s">
        <v>66</v>
      </c>
      <c r="Z25" s="17" t="b">
        <v>0</v>
      </c>
      <c r="AA25" s="17">
        <v>775.0</v>
      </c>
      <c r="AB25" s="17" t="b">
        <v>1</v>
      </c>
      <c r="AC25" s="17">
        <v>72.0</v>
      </c>
      <c r="AD25" s="17">
        <v>10.0</v>
      </c>
      <c r="AE25" s="19">
        <v>46157.0</v>
      </c>
      <c r="AF25" s="17" t="s">
        <v>67</v>
      </c>
      <c r="AG25" s="17" t="s">
        <v>68</v>
      </c>
      <c r="AH25" s="17" t="s">
        <v>69</v>
      </c>
      <c r="AI25" s="17" t="s">
        <v>70</v>
      </c>
      <c r="AJ25" s="17">
        <v>85254.0</v>
      </c>
      <c r="AK25" s="17" t="s">
        <v>71</v>
      </c>
      <c r="AL25" s="17" t="s">
        <v>72</v>
      </c>
      <c r="AM25" s="16" t="s">
        <v>248</v>
      </c>
      <c r="AN25" s="20"/>
      <c r="AO25" s="17">
        <v>2417716.0</v>
      </c>
      <c r="AP25" s="17">
        <v>33.591953</v>
      </c>
      <c r="AQ25" s="17">
        <v>-111.930634</v>
      </c>
      <c r="AR25" s="17">
        <v>53.1</v>
      </c>
      <c r="AS25" s="20">
        <f t="shared" ref="AS25:AS29" si="6">AVERAGE($C$2:$C$596)</f>
        <v>206948.5429</v>
      </c>
      <c r="AT25" s="17">
        <v>-8.38</v>
      </c>
      <c r="AU25" s="20">
        <f>IFERROR(($AS185-C185)/$AS185,0)</f>
        <v>0</v>
      </c>
      <c r="AV25" s="20">
        <f>$AS185-C185</f>
        <v>0</v>
      </c>
      <c r="AW25" s="17">
        <v>79139.0</v>
      </c>
      <c r="AX25" s="17">
        <v>2417716.0</v>
      </c>
      <c r="AY25" s="20"/>
      <c r="AZ25" s="16" t="s">
        <v>249</v>
      </c>
      <c r="BA25" s="17" t="s">
        <v>250</v>
      </c>
      <c r="BB25" s="17" t="s">
        <v>251</v>
      </c>
      <c r="BC25" s="16" t="s">
        <v>252</v>
      </c>
      <c r="BD25" s="17" t="s">
        <v>79</v>
      </c>
      <c r="BE25" s="17" t="s">
        <v>253</v>
      </c>
      <c r="BF25" s="17" t="s">
        <v>81</v>
      </c>
      <c r="BG25" s="16" t="s">
        <v>254</v>
      </c>
      <c r="BH25" s="20"/>
      <c r="BI25" s="20"/>
      <c r="BJ25" s="20"/>
      <c r="BK25" s="20"/>
      <c r="BL25" s="20"/>
    </row>
    <row r="26">
      <c r="A26" s="16" t="s">
        <v>247</v>
      </c>
      <c r="B26" s="16" t="s">
        <v>247</v>
      </c>
      <c r="C26" s="17">
        <v>166790.0</v>
      </c>
      <c r="D26" s="17">
        <v>272305.0</v>
      </c>
      <c r="E26" s="17">
        <v>3403.88</v>
      </c>
      <c r="F26" s="17">
        <v>33.33</v>
      </c>
      <c r="G26" s="17">
        <v>267.0</v>
      </c>
      <c r="H26" s="17">
        <v>8.0</v>
      </c>
      <c r="I26" s="17">
        <v>7.0</v>
      </c>
      <c r="J26" s="17">
        <v>16.0</v>
      </c>
      <c r="K26" s="17" t="b">
        <v>1</v>
      </c>
      <c r="L26" s="17" t="b">
        <v>0</v>
      </c>
      <c r="M26" s="17" t="b">
        <v>1</v>
      </c>
      <c r="N26" s="17" t="b">
        <v>1</v>
      </c>
      <c r="O26" s="17" t="b">
        <v>1</v>
      </c>
      <c r="P26" s="17" t="b">
        <v>1</v>
      </c>
      <c r="Q26" s="17" t="b">
        <v>1</v>
      </c>
      <c r="R26" s="17" t="s">
        <v>63</v>
      </c>
      <c r="S26" s="17" t="s">
        <v>83</v>
      </c>
      <c r="T26" s="17" t="s">
        <v>65</v>
      </c>
      <c r="U26" s="17">
        <v>5.0</v>
      </c>
      <c r="V26" s="17">
        <v>9.0</v>
      </c>
      <c r="W26" s="17">
        <v>4.0</v>
      </c>
      <c r="X26" s="18">
        <v>46193.0</v>
      </c>
      <c r="Y26" s="17" t="s">
        <v>66</v>
      </c>
      <c r="Z26" s="17" t="b">
        <v>1</v>
      </c>
      <c r="AA26" s="17">
        <v>959.0</v>
      </c>
      <c r="AB26" s="17" t="b">
        <v>1</v>
      </c>
      <c r="AC26" s="17">
        <v>49.0</v>
      </c>
      <c r="AD26" s="17">
        <v>9.0</v>
      </c>
      <c r="AE26" s="19">
        <v>46155.0</v>
      </c>
      <c r="AF26" s="17" t="s">
        <v>67</v>
      </c>
      <c r="AG26" s="17" t="s">
        <v>68</v>
      </c>
      <c r="AH26" s="17" t="s">
        <v>68</v>
      </c>
      <c r="AI26" s="17" t="s">
        <v>70</v>
      </c>
      <c r="AJ26" s="17">
        <v>85253.0</v>
      </c>
      <c r="AK26" s="17" t="s">
        <v>71</v>
      </c>
      <c r="AL26" s="17" t="s">
        <v>72</v>
      </c>
      <c r="AM26" s="16" t="s">
        <v>255</v>
      </c>
      <c r="AN26" s="17">
        <v>3.989322E7</v>
      </c>
      <c r="AO26" s="17">
        <v>1590817.0</v>
      </c>
      <c r="AP26" s="17">
        <v>33.5409</v>
      </c>
      <c r="AQ26" s="17">
        <v>-111.977</v>
      </c>
      <c r="AR26" s="17">
        <v>53.1</v>
      </c>
      <c r="AS26" s="20">
        <f t="shared" si="6"/>
        <v>206948.5429</v>
      </c>
      <c r="AT26" s="17">
        <v>-19.77</v>
      </c>
      <c r="AU26" s="20">
        <f>IFERROR(($AS146-C146)/$AS146,0)</f>
        <v>0</v>
      </c>
      <c r="AV26" s="20">
        <f>$AS146-C146</f>
        <v>0</v>
      </c>
      <c r="AW26" s="17">
        <v>105515.0</v>
      </c>
      <c r="AX26" s="17">
        <v>3.989322E7</v>
      </c>
      <c r="AY26" s="20"/>
      <c r="AZ26" s="16" t="s">
        <v>256</v>
      </c>
      <c r="BA26" s="17" t="s">
        <v>257</v>
      </c>
      <c r="BB26" s="17" t="s">
        <v>251</v>
      </c>
      <c r="BC26" s="16" t="s">
        <v>252</v>
      </c>
      <c r="BD26" s="17" t="s">
        <v>79</v>
      </c>
      <c r="BE26" s="17" t="s">
        <v>253</v>
      </c>
      <c r="BF26" s="17" t="s">
        <v>81</v>
      </c>
      <c r="BG26" s="16" t="s">
        <v>254</v>
      </c>
      <c r="BH26" s="20"/>
      <c r="BI26" s="20"/>
      <c r="BJ26" s="20"/>
      <c r="BK26" s="20"/>
      <c r="BL26" s="20"/>
    </row>
    <row r="27">
      <c r="A27" s="16" t="s">
        <v>247</v>
      </c>
      <c r="B27" s="16" t="s">
        <v>247</v>
      </c>
      <c r="C27" s="17">
        <v>230026.0</v>
      </c>
      <c r="D27" s="17">
        <v>347679.0</v>
      </c>
      <c r="E27" s="17">
        <v>2613.93</v>
      </c>
      <c r="F27" s="17">
        <v>34.78</v>
      </c>
      <c r="G27" s="17">
        <v>294.0</v>
      </c>
      <c r="H27" s="17">
        <v>8.0</v>
      </c>
      <c r="I27" s="17">
        <v>6.0</v>
      </c>
      <c r="J27" s="17">
        <v>16.0</v>
      </c>
      <c r="K27" s="17" t="b">
        <v>1</v>
      </c>
      <c r="L27" s="17" t="b">
        <v>0</v>
      </c>
      <c r="M27" s="17" t="b">
        <v>1</v>
      </c>
      <c r="N27" s="17" t="b">
        <v>1</v>
      </c>
      <c r="O27" s="17" t="b">
        <v>1</v>
      </c>
      <c r="P27" s="17" t="b">
        <v>1</v>
      </c>
      <c r="Q27" s="17" t="b">
        <v>1</v>
      </c>
      <c r="R27" s="17" t="s">
        <v>63</v>
      </c>
      <c r="S27" s="17" t="s">
        <v>83</v>
      </c>
      <c r="T27" s="17" t="s">
        <v>65</v>
      </c>
      <c r="U27" s="17">
        <v>4.9</v>
      </c>
      <c r="V27" s="17">
        <v>25.0</v>
      </c>
      <c r="W27" s="17">
        <v>4.0</v>
      </c>
      <c r="X27" s="18">
        <v>46193.0</v>
      </c>
      <c r="Y27" s="17" t="s">
        <v>66</v>
      </c>
      <c r="Z27" s="17" t="b">
        <v>1</v>
      </c>
      <c r="AA27" s="17">
        <v>1009.0</v>
      </c>
      <c r="AB27" s="17" t="b">
        <v>1</v>
      </c>
      <c r="AC27" s="17">
        <v>88.0</v>
      </c>
      <c r="AD27" s="17">
        <v>19.0</v>
      </c>
      <c r="AE27" s="19">
        <v>46155.0</v>
      </c>
      <c r="AF27" s="17" t="s">
        <v>67</v>
      </c>
      <c r="AG27" s="17" t="s">
        <v>68</v>
      </c>
      <c r="AH27" s="17" t="s">
        <v>68</v>
      </c>
      <c r="AI27" s="17" t="s">
        <v>70</v>
      </c>
      <c r="AJ27" s="17">
        <v>85253.0</v>
      </c>
      <c r="AK27" s="17" t="s">
        <v>71</v>
      </c>
      <c r="AL27" s="17" t="s">
        <v>72</v>
      </c>
      <c r="AM27" s="16" t="s">
        <v>258</v>
      </c>
      <c r="AN27" s="17">
        <v>3.9893321E7</v>
      </c>
      <c r="AO27" s="17">
        <v>1208129.0</v>
      </c>
      <c r="AP27" s="17">
        <v>33.5751</v>
      </c>
      <c r="AQ27" s="17">
        <v>-111.9564</v>
      </c>
      <c r="AR27" s="17">
        <v>53.1</v>
      </c>
      <c r="AS27" s="20">
        <f t="shared" si="6"/>
        <v>206948.5429</v>
      </c>
      <c r="AT27" s="17">
        <v>-18.32</v>
      </c>
      <c r="AU27" s="20">
        <f>IFERROR(($AS91-C91)/$AS91,0)</f>
        <v>0.4910064376</v>
      </c>
      <c r="AV27" s="20">
        <f>$AS91-C91</f>
        <v>102668.9118</v>
      </c>
      <c r="AW27" s="17">
        <v>117653.0</v>
      </c>
      <c r="AX27" s="17">
        <v>3.9893321E7</v>
      </c>
      <c r="AY27" s="20"/>
      <c r="AZ27" s="16" t="s">
        <v>259</v>
      </c>
      <c r="BA27" s="17" t="s">
        <v>260</v>
      </c>
      <c r="BB27" s="17" t="s">
        <v>251</v>
      </c>
      <c r="BC27" s="16" t="s">
        <v>252</v>
      </c>
      <c r="BD27" s="17" t="s">
        <v>79</v>
      </c>
      <c r="BE27" s="17" t="s">
        <v>253</v>
      </c>
      <c r="BF27" s="17" t="s">
        <v>81</v>
      </c>
      <c r="BG27" s="16" t="s">
        <v>254</v>
      </c>
      <c r="BH27" s="20"/>
      <c r="BI27" s="20"/>
      <c r="BJ27" s="20"/>
      <c r="BK27" s="20"/>
      <c r="BL27" s="20"/>
    </row>
    <row r="28">
      <c r="A28" s="14" t="s">
        <v>247</v>
      </c>
      <c r="B28" s="14" t="s">
        <v>247</v>
      </c>
      <c r="C28" s="12">
        <v>166259.0</v>
      </c>
      <c r="D28" s="12">
        <v>180986.0</v>
      </c>
      <c r="E28" s="12">
        <v>1679.38</v>
      </c>
      <c r="F28" s="12">
        <v>36.67</v>
      </c>
      <c r="G28" s="12">
        <v>353.0</v>
      </c>
      <c r="H28" s="12">
        <v>7.0</v>
      </c>
      <c r="I28" s="12">
        <v>6.0</v>
      </c>
      <c r="J28" s="12">
        <v>16.0</v>
      </c>
      <c r="K28" s="12" t="b">
        <v>1</v>
      </c>
      <c r="L28" s="12" t="b">
        <v>1</v>
      </c>
      <c r="M28" s="12" t="b">
        <v>1</v>
      </c>
      <c r="N28" s="12" t="b">
        <v>1</v>
      </c>
      <c r="O28" s="12" t="b">
        <v>1</v>
      </c>
      <c r="P28" s="12" t="b">
        <v>1</v>
      </c>
      <c r="Q28" s="12" t="b">
        <v>1</v>
      </c>
      <c r="R28" s="12" t="s">
        <v>63</v>
      </c>
      <c r="S28" s="12" t="s">
        <v>83</v>
      </c>
      <c r="T28" s="12" t="s">
        <v>65</v>
      </c>
      <c r="U28" s="12">
        <v>5.0</v>
      </c>
      <c r="V28" s="12">
        <v>11.0</v>
      </c>
      <c r="W28" s="12">
        <v>4.0</v>
      </c>
      <c r="X28" s="15">
        <v>46193.0</v>
      </c>
      <c r="Y28" s="12" t="s">
        <v>66</v>
      </c>
      <c r="Z28" s="12" t="b">
        <v>1</v>
      </c>
      <c r="AA28" s="12">
        <v>835.0</v>
      </c>
      <c r="AB28" s="12" t="b">
        <v>1</v>
      </c>
      <c r="AC28" s="12">
        <v>99.0</v>
      </c>
      <c r="AD28" s="12">
        <v>16.0</v>
      </c>
      <c r="AE28" s="13">
        <v>46159.0</v>
      </c>
      <c r="AF28" s="12" t="s">
        <v>67</v>
      </c>
      <c r="AG28" s="12" t="s">
        <v>68</v>
      </c>
      <c r="AH28" s="12" t="s">
        <v>69</v>
      </c>
      <c r="AI28" s="12" t="s">
        <v>70</v>
      </c>
      <c r="AJ28" s="12">
        <v>85254.0</v>
      </c>
      <c r="AK28" s="12" t="s">
        <v>71</v>
      </c>
      <c r="AL28" s="12" t="s">
        <v>72</v>
      </c>
      <c r="AM28" s="14" t="s">
        <v>261</v>
      </c>
      <c r="AN28" s="12">
        <v>5.2243423E7</v>
      </c>
      <c r="AO28" s="12">
        <v>2457243.0</v>
      </c>
      <c r="AP28" s="12">
        <v>33.5854</v>
      </c>
      <c r="AQ28" s="12">
        <v>-111.9467</v>
      </c>
      <c r="AR28" s="12">
        <v>53.1</v>
      </c>
      <c r="AS28" s="11">
        <f t="shared" si="6"/>
        <v>206948.5429</v>
      </c>
      <c r="AT28" s="12">
        <v>-16.43</v>
      </c>
      <c r="AU28" s="11">
        <f>IFERROR(($AS135-C135)/$AS135,0)</f>
        <v>0</v>
      </c>
      <c r="AV28" s="11">
        <f>$AS135-C135</f>
        <v>0</v>
      </c>
      <c r="AW28" s="12">
        <v>14727.0</v>
      </c>
      <c r="AX28" s="12">
        <v>5.2243423E7</v>
      </c>
      <c r="AY28" s="11"/>
      <c r="AZ28" s="14" t="s">
        <v>262</v>
      </c>
      <c r="BA28" s="12" t="s">
        <v>263</v>
      </c>
      <c r="BB28" s="12" t="s">
        <v>251</v>
      </c>
      <c r="BC28" s="14" t="s">
        <v>252</v>
      </c>
      <c r="BD28" s="12" t="s">
        <v>79</v>
      </c>
      <c r="BE28" s="12" t="s">
        <v>253</v>
      </c>
      <c r="BF28" s="12" t="s">
        <v>81</v>
      </c>
      <c r="BG28" s="14" t="s">
        <v>254</v>
      </c>
      <c r="BH28" s="11"/>
      <c r="BI28" s="11"/>
      <c r="BJ28" s="11"/>
      <c r="BK28" s="11"/>
      <c r="BL28" s="11"/>
    </row>
    <row r="29">
      <c r="A29" s="12">
        <v>1.04028805E8</v>
      </c>
      <c r="B29" s="14" t="s">
        <v>247</v>
      </c>
      <c r="C29" s="12">
        <v>207398.0</v>
      </c>
      <c r="D29" s="12">
        <v>341165.0</v>
      </c>
      <c r="E29" s="12">
        <v>1672.56</v>
      </c>
      <c r="F29" s="12">
        <v>61.39</v>
      </c>
      <c r="G29" s="12">
        <v>207.0</v>
      </c>
      <c r="H29" s="12">
        <v>6.0</v>
      </c>
      <c r="I29" s="12">
        <v>6.0</v>
      </c>
      <c r="J29" s="12">
        <v>14.0</v>
      </c>
      <c r="K29" s="12" t="b">
        <v>1</v>
      </c>
      <c r="L29" s="12" t="b">
        <v>1</v>
      </c>
      <c r="M29" s="12" t="b">
        <v>1</v>
      </c>
      <c r="N29" s="12" t="b">
        <v>1</v>
      </c>
      <c r="O29" s="12" t="b">
        <v>1</v>
      </c>
      <c r="P29" s="12" t="b">
        <v>0</v>
      </c>
      <c r="Q29" s="12" t="b">
        <v>1</v>
      </c>
      <c r="R29" s="12" t="s">
        <v>63</v>
      </c>
      <c r="S29" s="12" t="s">
        <v>64</v>
      </c>
      <c r="T29" s="12" t="s">
        <v>65</v>
      </c>
      <c r="U29" s="12">
        <v>5.0</v>
      </c>
      <c r="V29" s="12">
        <v>130.0</v>
      </c>
      <c r="W29" s="12">
        <v>3.0</v>
      </c>
      <c r="X29" s="15">
        <v>46193.0</v>
      </c>
      <c r="Y29" s="12" t="s">
        <v>66</v>
      </c>
      <c r="Z29" s="12" t="b">
        <v>1</v>
      </c>
      <c r="AA29" s="12">
        <v>550.0</v>
      </c>
      <c r="AB29" s="12" t="b">
        <v>1</v>
      </c>
      <c r="AC29" s="12">
        <v>124.0</v>
      </c>
      <c r="AD29" s="12">
        <v>34.0</v>
      </c>
      <c r="AE29" s="13">
        <v>46159.0</v>
      </c>
      <c r="AF29" s="12" t="s">
        <v>67</v>
      </c>
      <c r="AG29" s="12" t="s">
        <v>68</v>
      </c>
      <c r="AH29" s="12" t="s">
        <v>69</v>
      </c>
      <c r="AI29" s="12" t="s">
        <v>70</v>
      </c>
      <c r="AJ29" s="12">
        <v>85254.0</v>
      </c>
      <c r="AK29" s="12" t="s">
        <v>71</v>
      </c>
      <c r="AL29" s="12" t="s">
        <v>72</v>
      </c>
      <c r="AM29" s="14" t="s">
        <v>264</v>
      </c>
      <c r="AN29" s="12" t="s">
        <v>265</v>
      </c>
      <c r="AO29" s="12">
        <v>3092292.0</v>
      </c>
      <c r="AP29" s="12">
        <v>33.60627</v>
      </c>
      <c r="AQ29" s="12">
        <v>-111.94896</v>
      </c>
      <c r="AR29" s="12">
        <v>47.11</v>
      </c>
      <c r="AS29" s="11">
        <f t="shared" si="6"/>
        <v>206948.5429</v>
      </c>
      <c r="AT29" s="12">
        <v>14.28</v>
      </c>
      <c r="AU29" s="11">
        <f>IFERROR(($AS82-C82)/$AS82,0)</f>
        <v>0.0739871982</v>
      </c>
      <c r="AV29" s="11">
        <f>$AS82-C82</f>
        <v>15311.54286</v>
      </c>
      <c r="AW29" s="12">
        <v>133767.0</v>
      </c>
      <c r="AX29" s="12" t="s">
        <v>265</v>
      </c>
      <c r="AY29" s="11"/>
      <c r="AZ29" s="14" t="s">
        <v>266</v>
      </c>
      <c r="BA29" s="12" t="s">
        <v>267</v>
      </c>
      <c r="BB29" s="12" t="s">
        <v>251</v>
      </c>
      <c r="BC29" s="14" t="s">
        <v>252</v>
      </c>
      <c r="BD29" s="12" t="s">
        <v>79</v>
      </c>
      <c r="BE29" s="12" t="s">
        <v>253</v>
      </c>
      <c r="BF29" s="12" t="s">
        <v>81</v>
      </c>
      <c r="BG29" s="14" t="s">
        <v>254</v>
      </c>
      <c r="BH29" s="11"/>
      <c r="BI29" s="11"/>
      <c r="BJ29" s="11"/>
      <c r="BK29" s="11"/>
      <c r="BL29" s="11"/>
    </row>
    <row r="30">
      <c r="A30" s="14" t="s">
        <v>247</v>
      </c>
      <c r="B30" s="14" t="s">
        <v>247</v>
      </c>
      <c r="C30" s="12">
        <v>135071.0</v>
      </c>
      <c r="D30" s="12">
        <v>138082.0</v>
      </c>
      <c r="E30" s="12">
        <v>1534.9</v>
      </c>
      <c r="F30" s="12">
        <v>25.88</v>
      </c>
      <c r="G30" s="12">
        <v>349.0</v>
      </c>
      <c r="H30" s="12">
        <v>9.0</v>
      </c>
      <c r="I30" s="12">
        <v>6.0</v>
      </c>
      <c r="J30" s="12">
        <v>16.0</v>
      </c>
      <c r="K30" s="12" t="b">
        <v>1</v>
      </c>
      <c r="L30" s="12" t="b">
        <v>0</v>
      </c>
      <c r="M30" s="12" t="b">
        <v>1</v>
      </c>
      <c r="N30" s="12" t="b">
        <v>1</v>
      </c>
      <c r="O30" s="12" t="b">
        <v>1</v>
      </c>
      <c r="P30" s="12" t="b">
        <v>1</v>
      </c>
      <c r="Q30" s="12" t="b">
        <v>0</v>
      </c>
      <c r="R30" s="12" t="s">
        <v>63</v>
      </c>
      <c r="S30" s="12" t="s">
        <v>119</v>
      </c>
      <c r="T30" s="12" t="s">
        <v>65</v>
      </c>
      <c r="U30" s="12">
        <v>4.8</v>
      </c>
      <c r="V30" s="12">
        <v>19.0</v>
      </c>
      <c r="W30" s="12">
        <v>4.0</v>
      </c>
      <c r="X30" s="15">
        <v>46193.0</v>
      </c>
      <c r="Y30" s="12" t="s">
        <v>66</v>
      </c>
      <c r="Z30" s="12" t="b">
        <v>1</v>
      </c>
      <c r="AA30" s="12">
        <v>484.0</v>
      </c>
      <c r="AB30" s="12" t="b">
        <v>1</v>
      </c>
      <c r="AC30" s="12">
        <v>88.0</v>
      </c>
      <c r="AD30" s="12">
        <v>29.0</v>
      </c>
      <c r="AE30" s="13">
        <v>46155.0</v>
      </c>
      <c r="AF30" s="12" t="s">
        <v>268</v>
      </c>
      <c r="AG30" s="12" t="s">
        <v>269</v>
      </c>
      <c r="AH30" s="12" t="s">
        <v>269</v>
      </c>
      <c r="AI30" s="12" t="s">
        <v>70</v>
      </c>
      <c r="AJ30" s="12">
        <v>85541.0</v>
      </c>
      <c r="AK30" s="12" t="s">
        <v>71</v>
      </c>
      <c r="AL30" s="12" t="s">
        <v>123</v>
      </c>
      <c r="AM30" s="14" t="s">
        <v>270</v>
      </c>
      <c r="AN30" s="12" t="s">
        <v>271</v>
      </c>
      <c r="AO30" s="12">
        <v>1032183.0</v>
      </c>
      <c r="AP30" s="12">
        <v>34.2331</v>
      </c>
      <c r="AQ30" s="12">
        <v>-111.3025</v>
      </c>
      <c r="AR30" s="12">
        <v>39.69</v>
      </c>
      <c r="AS30" s="11">
        <f>AVERAGE($C$2:$C$240)</f>
        <v>206948.5429</v>
      </c>
      <c r="AT30" s="12">
        <v>-13.81</v>
      </c>
      <c r="AU30" s="11">
        <f>IFERROR((#REF!-#REF!)/#REF!,0)</f>
        <v>0</v>
      </c>
      <c r="AV30" s="11" t="str">
        <f>#REF!-#REF!</f>
        <v>#REF!</v>
      </c>
      <c r="AW30" s="12">
        <v>3011.0</v>
      </c>
      <c r="AX30" s="12" t="s">
        <v>271</v>
      </c>
      <c r="AY30" s="11"/>
      <c r="AZ30" s="14" t="s">
        <v>272</v>
      </c>
      <c r="BA30" s="12" t="s">
        <v>273</v>
      </c>
      <c r="BB30" s="12" t="s">
        <v>251</v>
      </c>
      <c r="BC30" s="14" t="s">
        <v>252</v>
      </c>
      <c r="BD30" s="12" t="s">
        <v>79</v>
      </c>
      <c r="BE30" s="12" t="s">
        <v>253</v>
      </c>
      <c r="BF30" s="12" t="s">
        <v>81</v>
      </c>
      <c r="BG30" s="14" t="s">
        <v>254</v>
      </c>
      <c r="BH30" s="11"/>
      <c r="BI30" s="11"/>
      <c r="BJ30" s="11"/>
      <c r="BK30" s="11"/>
      <c r="BL30" s="11"/>
    </row>
    <row r="31">
      <c r="A31" s="9" t="s">
        <v>247</v>
      </c>
      <c r="B31" s="9" t="s">
        <v>247</v>
      </c>
      <c r="C31" s="1">
        <v>218160.0</v>
      </c>
      <c r="D31" s="1">
        <v>328121.0</v>
      </c>
      <c r="E31" s="1">
        <v>1983.27</v>
      </c>
      <c r="F31" s="1">
        <v>42.64</v>
      </c>
      <c r="G31" s="1">
        <v>277.0</v>
      </c>
      <c r="H31" s="1">
        <v>7.0</v>
      </c>
      <c r="I31" s="1">
        <v>5.0</v>
      </c>
      <c r="J31" s="1">
        <v>16.0</v>
      </c>
      <c r="K31" s="1" t="b">
        <v>1</v>
      </c>
      <c r="L31" s="1" t="b">
        <v>0</v>
      </c>
      <c r="M31" s="1" t="b">
        <v>1</v>
      </c>
      <c r="N31" s="1" t="b">
        <v>1</v>
      </c>
      <c r="O31" s="1" t="b">
        <v>1</v>
      </c>
      <c r="P31" s="1" t="b">
        <v>1</v>
      </c>
      <c r="Q31" s="1" t="b">
        <v>1</v>
      </c>
      <c r="R31" s="1" t="s">
        <v>63</v>
      </c>
      <c r="S31" s="1" t="s">
        <v>83</v>
      </c>
      <c r="T31" s="1" t="s">
        <v>65</v>
      </c>
      <c r="U31" s="1">
        <v>4.9</v>
      </c>
      <c r="V31" s="1">
        <v>8.0</v>
      </c>
      <c r="W31" s="1">
        <v>4.0</v>
      </c>
      <c r="X31" s="7">
        <v>46193.0</v>
      </c>
      <c r="Y31" s="1" t="s">
        <v>66</v>
      </c>
      <c r="Z31" s="1" t="b">
        <v>1</v>
      </c>
      <c r="AA31" s="1">
        <v>859.0</v>
      </c>
      <c r="AB31" s="1" t="b">
        <v>1</v>
      </c>
      <c r="AC31" s="1">
        <v>110.0</v>
      </c>
      <c r="AD31" s="1">
        <v>24.0</v>
      </c>
      <c r="AE31" s="8">
        <v>46153.0</v>
      </c>
      <c r="AF31" s="1" t="s">
        <v>67</v>
      </c>
      <c r="AG31" s="1" t="s">
        <v>68</v>
      </c>
      <c r="AH31" s="1" t="s">
        <v>68</v>
      </c>
      <c r="AI31" s="1" t="s">
        <v>70</v>
      </c>
      <c r="AJ31" s="1">
        <v>85253.0</v>
      </c>
      <c r="AK31" s="1" t="s">
        <v>71</v>
      </c>
      <c r="AL31" s="1" t="s">
        <v>72</v>
      </c>
      <c r="AM31" s="9" t="s">
        <v>274</v>
      </c>
      <c r="AN31" s="1" t="s">
        <v>275</v>
      </c>
      <c r="AO31" s="1">
        <v>3571445.0</v>
      </c>
      <c r="AP31" s="1">
        <v>33.5404</v>
      </c>
      <c r="AQ31" s="1">
        <v>-111.9765</v>
      </c>
      <c r="AR31" s="1">
        <v>53.1</v>
      </c>
      <c r="AS31" s="10">
        <f t="shared" ref="AS31:AS32" si="7">AVERAGE($C$2:$C$596)</f>
        <v>206948.5429</v>
      </c>
      <c r="AT31" s="1">
        <v>-10.46</v>
      </c>
      <c r="AU31" s="10">
        <f>IFERROR(($AS61-C61)/$AS61,0)</f>
        <v>0.46941883</v>
      </c>
      <c r="AV31" s="10">
        <f>$AS61-C61</f>
        <v>97145.54286</v>
      </c>
      <c r="AW31" s="1">
        <v>109961.0</v>
      </c>
      <c r="AX31" s="1" t="s">
        <v>275</v>
      </c>
      <c r="AZ31" s="9" t="s">
        <v>276</v>
      </c>
      <c r="BA31" s="1" t="s">
        <v>277</v>
      </c>
      <c r="BB31" s="1" t="s">
        <v>251</v>
      </c>
      <c r="BC31" s="9" t="s">
        <v>252</v>
      </c>
      <c r="BD31" s="1" t="s">
        <v>79</v>
      </c>
      <c r="BE31" s="1" t="s">
        <v>253</v>
      </c>
      <c r="BF31" s="1" t="s">
        <v>81</v>
      </c>
      <c r="BG31" s="9" t="s">
        <v>254</v>
      </c>
    </row>
    <row r="32">
      <c r="A32" s="12">
        <v>1.04028805E8</v>
      </c>
      <c r="B32" s="14" t="s">
        <v>247</v>
      </c>
      <c r="C32" s="12">
        <v>266388.0</v>
      </c>
      <c r="D32" s="12">
        <v>333507.0</v>
      </c>
      <c r="E32" s="12">
        <v>2065.02</v>
      </c>
      <c r="F32" s="12">
        <v>52.87</v>
      </c>
      <c r="G32" s="12">
        <v>248.0</v>
      </c>
      <c r="H32" s="12">
        <v>6.0</v>
      </c>
      <c r="I32" s="12">
        <v>6.0</v>
      </c>
      <c r="J32" s="12">
        <v>16.0</v>
      </c>
      <c r="K32" s="12" t="b">
        <v>1</v>
      </c>
      <c r="L32" s="12" t="b">
        <v>1</v>
      </c>
      <c r="M32" s="12" t="b">
        <v>1</v>
      </c>
      <c r="N32" s="12" t="b">
        <v>1</v>
      </c>
      <c r="O32" s="12" t="b">
        <v>1</v>
      </c>
      <c r="P32" s="12" t="b">
        <v>0</v>
      </c>
      <c r="Q32" s="12" t="b">
        <v>1</v>
      </c>
      <c r="R32" s="12" t="s">
        <v>63</v>
      </c>
      <c r="S32" s="12" t="s">
        <v>64</v>
      </c>
      <c r="T32" s="12" t="s">
        <v>65</v>
      </c>
      <c r="U32" s="12">
        <v>4.95</v>
      </c>
      <c r="V32" s="12">
        <v>37.0</v>
      </c>
      <c r="W32" s="12">
        <v>3.0</v>
      </c>
      <c r="X32" s="15">
        <v>46193.0</v>
      </c>
      <c r="Y32" s="12" t="s">
        <v>66</v>
      </c>
      <c r="Z32" s="12" t="b">
        <v>1</v>
      </c>
      <c r="AA32" s="12">
        <v>600.0</v>
      </c>
      <c r="AB32" s="12" t="b">
        <v>1</v>
      </c>
      <c r="AC32" s="12">
        <v>129.0</v>
      </c>
      <c r="AD32" s="12">
        <v>38.0</v>
      </c>
      <c r="AE32" s="13">
        <v>46155.0</v>
      </c>
      <c r="AF32" s="12" t="s">
        <v>67</v>
      </c>
      <c r="AG32" s="12" t="s">
        <v>68</v>
      </c>
      <c r="AH32" s="12" t="s">
        <v>68</v>
      </c>
      <c r="AI32" s="12" t="s">
        <v>70</v>
      </c>
      <c r="AJ32" s="12">
        <v>85253.0</v>
      </c>
      <c r="AK32" s="12" t="s">
        <v>71</v>
      </c>
      <c r="AL32" s="12" t="s">
        <v>72</v>
      </c>
      <c r="AM32" s="14" t="s">
        <v>278</v>
      </c>
      <c r="AN32" s="12" t="s">
        <v>279</v>
      </c>
      <c r="AO32" s="12">
        <v>4430596.0</v>
      </c>
      <c r="AP32" s="12">
        <v>33.5726</v>
      </c>
      <c r="AQ32" s="12">
        <v>-111.9313</v>
      </c>
      <c r="AR32" s="12">
        <v>47.11</v>
      </c>
      <c r="AS32" s="11">
        <f t="shared" si="7"/>
        <v>206948.5429</v>
      </c>
      <c r="AT32" s="12">
        <v>5.76</v>
      </c>
      <c r="AU32" s="11">
        <f>IFERROR(($AS10-C10)/$AS10,0)</f>
        <v>-1.148814357</v>
      </c>
      <c r="AV32" s="11">
        <f>$AS10-C10</f>
        <v>-237745.4571</v>
      </c>
      <c r="AW32" s="12">
        <v>67119.0</v>
      </c>
      <c r="AX32" s="12" t="s">
        <v>279</v>
      </c>
      <c r="AY32" s="11"/>
      <c r="AZ32" s="14" t="s">
        <v>280</v>
      </c>
      <c r="BA32" s="12" t="s">
        <v>281</v>
      </c>
      <c r="BB32" s="12" t="s">
        <v>251</v>
      </c>
      <c r="BC32" s="14" t="s">
        <v>252</v>
      </c>
      <c r="BD32" s="12" t="s">
        <v>79</v>
      </c>
      <c r="BE32" s="12" t="s">
        <v>253</v>
      </c>
      <c r="BF32" s="12" t="s">
        <v>81</v>
      </c>
      <c r="BG32" s="14" t="s">
        <v>254</v>
      </c>
      <c r="BH32" s="11"/>
      <c r="BI32" s="11"/>
      <c r="BJ32" s="11"/>
      <c r="BK32" s="11"/>
      <c r="BL32" s="11"/>
    </row>
    <row r="33">
      <c r="A33" s="2"/>
      <c r="B33" s="3" t="s">
        <v>282</v>
      </c>
      <c r="C33" s="3">
        <v>159153.0</v>
      </c>
      <c r="D33" s="3">
        <v>208333.0</v>
      </c>
      <c r="E33" s="3">
        <v>2486.77</v>
      </c>
      <c r="F33" s="3">
        <v>25.2</v>
      </c>
      <c r="G33" s="3">
        <v>300.0</v>
      </c>
      <c r="H33" s="3">
        <v>10.0</v>
      </c>
      <c r="I33" s="3">
        <v>10.0</v>
      </c>
      <c r="J33" s="3">
        <v>26.0</v>
      </c>
      <c r="K33" s="3" t="b">
        <v>1</v>
      </c>
      <c r="L33" s="3" t="b">
        <v>0</v>
      </c>
      <c r="M33" s="3" t="b">
        <v>1</v>
      </c>
      <c r="N33" s="3" t="b">
        <v>1</v>
      </c>
      <c r="O33" s="3" t="b">
        <v>1</v>
      </c>
      <c r="P33" s="3" t="b">
        <v>0</v>
      </c>
      <c r="Q33" s="3" t="b">
        <v>0</v>
      </c>
      <c r="R33" s="3" t="s">
        <v>63</v>
      </c>
      <c r="S33" s="3" t="s">
        <v>64</v>
      </c>
      <c r="T33" s="3" t="s">
        <v>65</v>
      </c>
      <c r="U33" s="3">
        <v>5.0</v>
      </c>
      <c r="V33" s="3">
        <v>9.0</v>
      </c>
      <c r="W33" s="3">
        <v>3.0</v>
      </c>
      <c r="X33" s="3">
        <v>1.0</v>
      </c>
      <c r="Y33" s="3" t="s">
        <v>66</v>
      </c>
      <c r="Z33" s="3" t="b">
        <v>0</v>
      </c>
      <c r="AA33" s="3">
        <v>675.0</v>
      </c>
      <c r="AB33" s="3" t="b">
        <v>1</v>
      </c>
      <c r="AC33" s="3">
        <v>64.0</v>
      </c>
      <c r="AD33" s="3">
        <v>22.0</v>
      </c>
      <c r="AE33" s="4">
        <v>46159.0</v>
      </c>
      <c r="AF33" s="3" t="s">
        <v>166</v>
      </c>
      <c r="AG33" s="3" t="s">
        <v>166</v>
      </c>
      <c r="AH33" s="3" t="s">
        <v>166</v>
      </c>
      <c r="AI33" s="3" t="s">
        <v>70</v>
      </c>
      <c r="AJ33" s="3">
        <v>86001.0</v>
      </c>
      <c r="AK33" s="3" t="s">
        <v>71</v>
      </c>
      <c r="AL33" s="3" t="s">
        <v>167</v>
      </c>
      <c r="AM33" s="5" t="s">
        <v>283</v>
      </c>
      <c r="AN33" s="2"/>
      <c r="AO33" s="3">
        <v>4519123.0</v>
      </c>
      <c r="AP33" s="3">
        <v>35.182704</v>
      </c>
      <c r="AQ33" s="3">
        <v>-111.64669</v>
      </c>
      <c r="AR33" s="3">
        <v>40.01</v>
      </c>
      <c r="AS33" s="2">
        <f>AVERAGE($C$2:$C$130)</f>
        <v>206948.5429</v>
      </c>
      <c r="AT33" s="3">
        <v>-14.81</v>
      </c>
      <c r="AU33" s="2">
        <f>IFERROR(($AS42-C42)/$AS42,0)</f>
        <v>-0.2835896128</v>
      </c>
      <c r="AV33" s="2">
        <f>$AS42-C42</f>
        <v>-58688.45714</v>
      </c>
      <c r="AW33" s="3">
        <v>49180.0</v>
      </c>
      <c r="AX33" s="3">
        <v>4519123.0</v>
      </c>
      <c r="AY33" s="3" t="s">
        <v>284</v>
      </c>
      <c r="AZ33" s="5" t="s">
        <v>285</v>
      </c>
      <c r="BA33" s="3" t="s">
        <v>286</v>
      </c>
      <c r="BB33" s="3" t="s">
        <v>287</v>
      </c>
      <c r="BC33" s="3" t="s">
        <v>288</v>
      </c>
      <c r="BD33" s="3" t="s">
        <v>175</v>
      </c>
      <c r="BE33" s="3" t="s">
        <v>289</v>
      </c>
      <c r="BF33" s="3" t="s">
        <v>81</v>
      </c>
      <c r="BG33" s="5" t="s">
        <v>290</v>
      </c>
      <c r="BH33" s="3" t="s">
        <v>291</v>
      </c>
      <c r="BI33" s="2"/>
      <c r="BJ33" s="2"/>
      <c r="BK33" s="2"/>
      <c r="BL33" s="2"/>
    </row>
    <row r="34">
      <c r="A34" s="11"/>
      <c r="B34" s="12" t="s">
        <v>292</v>
      </c>
      <c r="C34" s="12">
        <v>213163.0</v>
      </c>
      <c r="D34" s="12">
        <v>296464.0</v>
      </c>
      <c r="E34" s="12">
        <v>3229.74</v>
      </c>
      <c r="F34" s="12">
        <v>41.51</v>
      </c>
      <c r="G34" s="12">
        <v>276.0</v>
      </c>
      <c r="H34" s="12">
        <v>7.0</v>
      </c>
      <c r="I34" s="12">
        <v>5.0</v>
      </c>
      <c r="J34" s="12">
        <v>20.0</v>
      </c>
      <c r="K34" s="12" t="b">
        <v>1</v>
      </c>
      <c r="L34" s="12" t="b">
        <v>0</v>
      </c>
      <c r="M34" s="12" t="b">
        <v>1</v>
      </c>
      <c r="N34" s="12" t="b">
        <v>1</v>
      </c>
      <c r="O34" s="12" t="b">
        <v>1</v>
      </c>
      <c r="P34" s="12" t="b">
        <v>0</v>
      </c>
      <c r="Q34" s="12" t="b">
        <v>1</v>
      </c>
      <c r="R34" s="12" t="s">
        <v>63</v>
      </c>
      <c r="S34" s="12" t="s">
        <v>64</v>
      </c>
      <c r="T34" s="12" t="s">
        <v>65</v>
      </c>
      <c r="U34" s="12">
        <v>5.0</v>
      </c>
      <c r="V34" s="12">
        <v>12.0</v>
      </c>
      <c r="W34" s="12">
        <v>3.0</v>
      </c>
      <c r="X34" s="12">
        <v>1.0</v>
      </c>
      <c r="Y34" s="12" t="s">
        <v>66</v>
      </c>
      <c r="Z34" s="12" t="b">
        <v>0</v>
      </c>
      <c r="AA34" s="12">
        <v>695.0</v>
      </c>
      <c r="AB34" s="12" t="b">
        <v>1</v>
      </c>
      <c r="AC34" s="12">
        <v>66.0</v>
      </c>
      <c r="AD34" s="12">
        <v>15.0</v>
      </c>
      <c r="AE34" s="13">
        <v>46158.0</v>
      </c>
      <c r="AF34" s="12" t="s">
        <v>67</v>
      </c>
      <c r="AG34" s="12" t="s">
        <v>293</v>
      </c>
      <c r="AH34" s="12" t="s">
        <v>293</v>
      </c>
      <c r="AI34" s="12" t="s">
        <v>70</v>
      </c>
      <c r="AJ34" s="12">
        <v>85268.0</v>
      </c>
      <c r="AK34" s="12" t="s">
        <v>71</v>
      </c>
      <c r="AL34" s="12" t="s">
        <v>72</v>
      </c>
      <c r="AM34" s="14" t="s">
        <v>294</v>
      </c>
      <c r="AN34" s="11"/>
      <c r="AO34" s="12">
        <v>2563495.0</v>
      </c>
      <c r="AP34" s="12">
        <v>33.595092</v>
      </c>
      <c r="AQ34" s="12">
        <v>-111.725498</v>
      </c>
      <c r="AR34" s="12">
        <v>35.49</v>
      </c>
      <c r="AS34" s="11">
        <f t="shared" ref="AS34:AS36" si="8">AVERAGE($C$2:$C$134)</f>
        <v>206948.5429</v>
      </c>
      <c r="AT34" s="12">
        <v>6.02</v>
      </c>
      <c r="AU34" s="11">
        <f>IFERROR(($AS33-C33)/$AS33,0)</f>
        <v>0.230953754</v>
      </c>
      <c r="AV34" s="11">
        <f>$AS33-C33</f>
        <v>47795.54286</v>
      </c>
      <c r="AW34" s="12">
        <v>83301.0</v>
      </c>
      <c r="AX34" s="12">
        <v>2563495.0</v>
      </c>
      <c r="AY34" s="12" t="s">
        <v>295</v>
      </c>
      <c r="AZ34" s="14" t="s">
        <v>296</v>
      </c>
      <c r="BA34" s="12" t="s">
        <v>297</v>
      </c>
      <c r="BB34" s="12" t="s">
        <v>298</v>
      </c>
      <c r="BC34" s="12" t="s">
        <v>299</v>
      </c>
      <c r="BD34" s="12" t="s">
        <v>79</v>
      </c>
      <c r="BE34" s="12" t="s">
        <v>300</v>
      </c>
      <c r="BF34" s="12" t="s">
        <v>81</v>
      </c>
      <c r="BG34" s="14" t="s">
        <v>301</v>
      </c>
      <c r="BH34" s="11"/>
      <c r="BI34" s="11"/>
      <c r="BJ34" s="11"/>
      <c r="BK34" s="11"/>
      <c r="BL34" s="11"/>
    </row>
    <row r="35">
      <c r="A35" s="12">
        <v>3.74668104E8</v>
      </c>
      <c r="B35" s="12" t="s">
        <v>292</v>
      </c>
      <c r="C35" s="12">
        <v>123899.0</v>
      </c>
      <c r="D35" s="12">
        <v>163607.0</v>
      </c>
      <c r="E35" s="12">
        <v>2212.48</v>
      </c>
      <c r="F35" s="12">
        <v>25.0</v>
      </c>
      <c r="G35" s="12">
        <v>291.0</v>
      </c>
      <c r="H35" s="12">
        <v>6.0</v>
      </c>
      <c r="I35" s="12">
        <v>4.0</v>
      </c>
      <c r="J35" s="12">
        <v>16.0</v>
      </c>
      <c r="K35" s="12" t="b">
        <v>1</v>
      </c>
      <c r="L35" s="12" t="b">
        <v>0</v>
      </c>
      <c r="M35" s="12" t="b">
        <v>1</v>
      </c>
      <c r="N35" s="12" t="b">
        <v>1</v>
      </c>
      <c r="O35" s="12" t="b">
        <v>1</v>
      </c>
      <c r="P35" s="12" t="b">
        <v>1</v>
      </c>
      <c r="Q35" s="12" t="b">
        <v>1</v>
      </c>
      <c r="R35" s="12" t="s">
        <v>63</v>
      </c>
      <c r="S35" s="12" t="s">
        <v>64</v>
      </c>
      <c r="T35" s="12" t="s">
        <v>65</v>
      </c>
      <c r="U35" s="12">
        <v>4.95</v>
      </c>
      <c r="V35" s="12">
        <v>56.0</v>
      </c>
      <c r="W35" s="12">
        <v>3.0</v>
      </c>
      <c r="X35" s="15">
        <v>46058.0</v>
      </c>
      <c r="Y35" s="12" t="s">
        <v>66</v>
      </c>
      <c r="Z35" s="12" t="b">
        <v>0</v>
      </c>
      <c r="AA35" s="12">
        <v>595.0</v>
      </c>
      <c r="AB35" s="12" t="b">
        <v>1</v>
      </c>
      <c r="AC35" s="12">
        <v>56.0</v>
      </c>
      <c r="AD35" s="12">
        <v>13.0</v>
      </c>
      <c r="AE35" s="13">
        <v>46158.0</v>
      </c>
      <c r="AF35" s="12" t="s">
        <v>67</v>
      </c>
      <c r="AG35" s="12" t="s">
        <v>293</v>
      </c>
      <c r="AH35" s="12" t="s">
        <v>293</v>
      </c>
      <c r="AI35" s="12" t="s">
        <v>70</v>
      </c>
      <c r="AJ35" s="12">
        <v>85268.0</v>
      </c>
      <c r="AK35" s="12" t="s">
        <v>71</v>
      </c>
      <c r="AL35" s="12" t="s">
        <v>72</v>
      </c>
      <c r="AM35" s="14" t="s">
        <v>302</v>
      </c>
      <c r="AN35" s="12">
        <v>5.0745866E7</v>
      </c>
      <c r="AO35" s="11"/>
      <c r="AP35" s="12">
        <v>33.60262</v>
      </c>
      <c r="AQ35" s="12">
        <v>-111.75716</v>
      </c>
      <c r="AR35" s="12">
        <v>27.56</v>
      </c>
      <c r="AS35" s="11">
        <f t="shared" si="8"/>
        <v>206948.5429</v>
      </c>
      <c r="AT35" s="12">
        <v>-2.56</v>
      </c>
      <c r="AU35" s="11">
        <f>IFERROR(($AS11-C11)/$AS11,0)</f>
        <v>0.4581503283</v>
      </c>
      <c r="AV35" s="11">
        <f>$AS11-C11</f>
        <v>94813.54286</v>
      </c>
      <c r="AW35" s="12">
        <v>39708.0</v>
      </c>
      <c r="AX35" s="12">
        <v>5.0745866E7</v>
      </c>
      <c r="AY35" s="12" t="s">
        <v>303</v>
      </c>
      <c r="AZ35" s="14" t="s">
        <v>304</v>
      </c>
      <c r="BA35" s="12" t="s">
        <v>305</v>
      </c>
      <c r="BB35" s="12" t="s">
        <v>298</v>
      </c>
      <c r="BC35" s="12" t="s">
        <v>306</v>
      </c>
      <c r="BD35" s="12" t="s">
        <v>79</v>
      </c>
      <c r="BE35" s="12" t="s">
        <v>307</v>
      </c>
      <c r="BF35" s="12" t="s">
        <v>81</v>
      </c>
      <c r="BG35" s="14" t="s">
        <v>308</v>
      </c>
      <c r="BH35" s="11"/>
      <c r="BI35" s="11"/>
      <c r="BJ35" s="11"/>
      <c r="BK35" s="11"/>
      <c r="BL35" s="11"/>
    </row>
    <row r="36">
      <c r="A36" s="12">
        <v>3.74668104E8</v>
      </c>
      <c r="B36" s="12" t="s">
        <v>292</v>
      </c>
      <c r="C36" s="12">
        <v>139725.0</v>
      </c>
      <c r="D36" s="12">
        <v>222839.0</v>
      </c>
      <c r="E36" s="12">
        <v>2328.75</v>
      </c>
      <c r="F36" s="12">
        <v>28.17</v>
      </c>
      <c r="G36" s="12">
        <v>275.0</v>
      </c>
      <c r="H36" s="12">
        <v>7.0</v>
      </c>
      <c r="I36" s="12">
        <v>6.0</v>
      </c>
      <c r="J36" s="12">
        <v>16.0</v>
      </c>
      <c r="K36" s="12" t="b">
        <v>1</v>
      </c>
      <c r="L36" s="12" t="b">
        <v>0</v>
      </c>
      <c r="M36" s="12" t="b">
        <v>1</v>
      </c>
      <c r="N36" s="12" t="b">
        <v>1</v>
      </c>
      <c r="O36" s="12" t="b">
        <v>1</v>
      </c>
      <c r="P36" s="12" t="b">
        <v>1</v>
      </c>
      <c r="Q36" s="12" t="b">
        <v>1</v>
      </c>
      <c r="R36" s="12" t="s">
        <v>63</v>
      </c>
      <c r="S36" s="12" t="s">
        <v>64</v>
      </c>
      <c r="T36" s="12" t="s">
        <v>65</v>
      </c>
      <c r="U36" s="12">
        <v>4.95</v>
      </c>
      <c r="V36" s="12">
        <v>67.0</v>
      </c>
      <c r="W36" s="12">
        <v>3.0</v>
      </c>
      <c r="X36" s="15">
        <v>46058.0</v>
      </c>
      <c r="Y36" s="12" t="s">
        <v>66</v>
      </c>
      <c r="Z36" s="12" t="b">
        <v>0</v>
      </c>
      <c r="AA36" s="12">
        <v>645.0</v>
      </c>
      <c r="AB36" s="12" t="b">
        <v>1</v>
      </c>
      <c r="AC36" s="12">
        <v>60.0</v>
      </c>
      <c r="AD36" s="12">
        <v>13.0</v>
      </c>
      <c r="AE36" s="13">
        <v>46155.0</v>
      </c>
      <c r="AF36" s="12" t="s">
        <v>67</v>
      </c>
      <c r="AG36" s="12" t="s">
        <v>293</v>
      </c>
      <c r="AH36" s="12" t="s">
        <v>293</v>
      </c>
      <c r="AI36" s="12" t="s">
        <v>70</v>
      </c>
      <c r="AJ36" s="12">
        <v>85268.0</v>
      </c>
      <c r="AK36" s="12" t="s">
        <v>71</v>
      </c>
      <c r="AL36" s="12" t="s">
        <v>72</v>
      </c>
      <c r="AM36" s="14" t="s">
        <v>309</v>
      </c>
      <c r="AN36" s="12" t="s">
        <v>310</v>
      </c>
      <c r="AO36" s="11"/>
      <c r="AP36" s="12">
        <v>33.59334</v>
      </c>
      <c r="AQ36" s="12">
        <v>-111.72138</v>
      </c>
      <c r="AR36" s="12">
        <v>35.49</v>
      </c>
      <c r="AS36" s="11">
        <f t="shared" si="8"/>
        <v>206948.5429</v>
      </c>
      <c r="AT36" s="12">
        <v>-7.32</v>
      </c>
      <c r="AU36" s="11">
        <f>IFERROR((#REF!-#REF!)/#REF!,0)</f>
        <v>0</v>
      </c>
      <c r="AV36" s="11" t="str">
        <f>#REF!-#REF!</f>
        <v>#REF!</v>
      </c>
      <c r="AW36" s="12">
        <v>83114.0</v>
      </c>
      <c r="AX36" s="12" t="s">
        <v>310</v>
      </c>
      <c r="AY36" s="11"/>
      <c r="AZ36" s="14" t="s">
        <v>311</v>
      </c>
      <c r="BA36" s="12" t="s">
        <v>312</v>
      </c>
      <c r="BB36" s="12" t="s">
        <v>298</v>
      </c>
      <c r="BC36" s="12" t="s">
        <v>299</v>
      </c>
      <c r="BD36" s="12" t="s">
        <v>79</v>
      </c>
      <c r="BE36" s="12" t="s">
        <v>313</v>
      </c>
      <c r="BF36" s="12" t="s">
        <v>81</v>
      </c>
      <c r="BG36" s="14" t="s">
        <v>301</v>
      </c>
      <c r="BH36" s="11"/>
      <c r="BI36" s="11"/>
      <c r="BJ36" s="11"/>
      <c r="BK36" s="11"/>
      <c r="BL36" s="11"/>
    </row>
    <row r="37">
      <c r="A37" s="2"/>
      <c r="B37" s="3" t="s">
        <v>314</v>
      </c>
      <c r="C37" s="3">
        <v>145895.0</v>
      </c>
      <c r="D37" s="3">
        <v>425551.0</v>
      </c>
      <c r="E37" s="3">
        <v>2559.56</v>
      </c>
      <c r="F37" s="3">
        <v>50.0</v>
      </c>
      <c r="G37" s="3">
        <v>136.0</v>
      </c>
      <c r="H37" s="3">
        <v>11.0</v>
      </c>
      <c r="I37" s="3">
        <v>6.0</v>
      </c>
      <c r="J37" s="3">
        <v>34.0</v>
      </c>
      <c r="K37" s="3" t="b">
        <v>1</v>
      </c>
      <c r="L37" s="3" t="b">
        <v>0</v>
      </c>
      <c r="M37" s="3" t="b">
        <v>0</v>
      </c>
      <c r="N37" s="3" t="b">
        <v>1</v>
      </c>
      <c r="O37" s="3" t="b">
        <v>1</v>
      </c>
      <c r="P37" s="3" t="b">
        <v>1</v>
      </c>
      <c r="Q37" s="3" t="b">
        <v>0</v>
      </c>
      <c r="R37" s="3" t="s">
        <v>63</v>
      </c>
      <c r="S37" s="3" t="s">
        <v>119</v>
      </c>
      <c r="T37" s="3" t="s">
        <v>65</v>
      </c>
      <c r="U37" s="3">
        <v>5.0</v>
      </c>
      <c r="V37" s="3">
        <v>1.0</v>
      </c>
      <c r="W37" s="3">
        <v>2.0</v>
      </c>
      <c r="X37" s="3">
        <v>1.0</v>
      </c>
      <c r="Y37" s="3" t="s">
        <v>66</v>
      </c>
      <c r="Z37" s="3" t="b">
        <v>0</v>
      </c>
      <c r="AA37" s="3">
        <v>74.0</v>
      </c>
      <c r="AB37" s="3" t="b">
        <v>1</v>
      </c>
      <c r="AC37" s="3">
        <v>57.0</v>
      </c>
      <c r="AD37" s="3">
        <v>23.0</v>
      </c>
      <c r="AE37" s="4">
        <v>46156.0</v>
      </c>
      <c r="AF37" s="3" t="s">
        <v>268</v>
      </c>
      <c r="AG37" s="3" t="s">
        <v>269</v>
      </c>
      <c r="AH37" s="3" t="s">
        <v>269</v>
      </c>
      <c r="AI37" s="3" t="s">
        <v>70</v>
      </c>
      <c r="AJ37" s="3">
        <v>85541.0</v>
      </c>
      <c r="AK37" s="3" t="s">
        <v>71</v>
      </c>
      <c r="AL37" s="3" t="s">
        <v>123</v>
      </c>
      <c r="AM37" s="5" t="s">
        <v>315</v>
      </c>
      <c r="AN37" s="2"/>
      <c r="AO37" s="3">
        <v>2218327.0</v>
      </c>
      <c r="AP37" s="3">
        <v>34.305971</v>
      </c>
      <c r="AQ37" s="3">
        <v>-111.011939</v>
      </c>
      <c r="AR37" s="3">
        <v>39.69</v>
      </c>
      <c r="AS37" s="2">
        <f t="shared" ref="AS37:AS38" si="9">AVERAGE($C$2:$C$240)</f>
        <v>206948.5429</v>
      </c>
      <c r="AT37" s="3">
        <v>10.31</v>
      </c>
      <c r="AU37" s="2">
        <f>IFERROR(($AS37-C37)/$AS37,0)</f>
        <v>0.2950179886</v>
      </c>
      <c r="AV37" s="2">
        <f>$AS37-C37</f>
        <v>61053.54286</v>
      </c>
      <c r="AW37" s="3">
        <v>279656.0</v>
      </c>
      <c r="AX37" s="3">
        <v>2218327.0</v>
      </c>
      <c r="AY37" s="3" t="s">
        <v>314</v>
      </c>
      <c r="AZ37" s="5" t="s">
        <v>316</v>
      </c>
      <c r="BA37" s="3" t="s">
        <v>317</v>
      </c>
      <c r="BB37" s="3" t="s">
        <v>318</v>
      </c>
      <c r="BC37" s="3" t="s">
        <v>319</v>
      </c>
      <c r="BD37" s="3" t="s">
        <v>175</v>
      </c>
      <c r="BE37" s="3" t="s">
        <v>320</v>
      </c>
      <c r="BF37" s="3" t="s">
        <v>321</v>
      </c>
      <c r="BG37" s="5" t="s">
        <v>322</v>
      </c>
      <c r="BH37" s="2"/>
      <c r="BI37" s="2"/>
      <c r="BJ37" s="2"/>
      <c r="BK37" s="2"/>
      <c r="BL37" s="2"/>
    </row>
    <row r="38">
      <c r="A38" s="3" t="s">
        <v>314</v>
      </c>
      <c r="B38" s="3" t="s">
        <v>314</v>
      </c>
      <c r="C38" s="3">
        <v>100569.0</v>
      </c>
      <c r="D38" s="3">
        <v>327298.0</v>
      </c>
      <c r="E38" s="3">
        <v>3047.55</v>
      </c>
      <c r="F38" s="3">
        <v>57.89</v>
      </c>
      <c r="G38" s="3">
        <v>102.0</v>
      </c>
      <c r="H38" s="3">
        <v>11.0</v>
      </c>
      <c r="I38" s="3">
        <v>6.0</v>
      </c>
      <c r="J38" s="3">
        <v>16.0</v>
      </c>
      <c r="K38" s="3" t="b">
        <v>1</v>
      </c>
      <c r="L38" s="3" t="b">
        <v>0</v>
      </c>
      <c r="M38" s="3" t="b">
        <v>0</v>
      </c>
      <c r="N38" s="3" t="b">
        <v>1</v>
      </c>
      <c r="O38" s="3" t="b">
        <v>1</v>
      </c>
      <c r="P38" s="3" t="b">
        <v>1</v>
      </c>
      <c r="Q38" s="3" t="b">
        <v>0</v>
      </c>
      <c r="R38" s="3" t="s">
        <v>63</v>
      </c>
      <c r="S38" s="3" t="s">
        <v>119</v>
      </c>
      <c r="T38" s="3" t="s">
        <v>65</v>
      </c>
      <c r="U38" s="3">
        <v>4.65</v>
      </c>
      <c r="V38" s="3">
        <v>39.0</v>
      </c>
      <c r="W38" s="3">
        <v>2.0</v>
      </c>
      <c r="X38" s="6">
        <v>46193.0</v>
      </c>
      <c r="Y38" s="3" t="s">
        <v>66</v>
      </c>
      <c r="Z38" s="3" t="b">
        <v>1</v>
      </c>
      <c r="AA38" s="3">
        <v>419.0</v>
      </c>
      <c r="AB38" s="3" t="b">
        <v>0</v>
      </c>
      <c r="AC38" s="3">
        <v>33.0</v>
      </c>
      <c r="AD38" s="3">
        <v>11.0</v>
      </c>
      <c r="AE38" s="4">
        <v>46159.0</v>
      </c>
      <c r="AF38" s="3" t="s">
        <v>268</v>
      </c>
      <c r="AG38" s="3" t="s">
        <v>269</v>
      </c>
      <c r="AH38" s="3" t="s">
        <v>269</v>
      </c>
      <c r="AI38" s="3" t="s">
        <v>70</v>
      </c>
      <c r="AJ38" s="3">
        <v>85541.0</v>
      </c>
      <c r="AK38" s="3" t="s">
        <v>71</v>
      </c>
      <c r="AL38" s="3" t="s">
        <v>123</v>
      </c>
      <c r="AM38" s="5" t="s">
        <v>323</v>
      </c>
      <c r="AN38" s="3">
        <v>4.8317305E7</v>
      </c>
      <c r="AO38" s="3">
        <v>2148513.0</v>
      </c>
      <c r="AP38" s="3">
        <v>34.306</v>
      </c>
      <c r="AQ38" s="3">
        <v>-111.0119</v>
      </c>
      <c r="AR38" s="3">
        <v>39.69</v>
      </c>
      <c r="AS38" s="2">
        <f t="shared" si="9"/>
        <v>206948.5429</v>
      </c>
      <c r="AT38" s="3">
        <v>18.2</v>
      </c>
      <c r="AU38" s="2">
        <f>IFERROR(($AS13-C13)/$AS13,0)</f>
        <v>0.2508427561</v>
      </c>
      <c r="AV38" s="2">
        <f>$AS13-C13</f>
        <v>51911.54286</v>
      </c>
      <c r="AW38" s="3">
        <v>226729.0</v>
      </c>
      <c r="AX38" s="3">
        <v>4.8317305E7</v>
      </c>
      <c r="AY38" s="3" t="s">
        <v>314</v>
      </c>
      <c r="AZ38" s="5" t="s">
        <v>324</v>
      </c>
      <c r="BA38" s="3" t="s">
        <v>317</v>
      </c>
      <c r="BB38" s="3" t="s">
        <v>318</v>
      </c>
      <c r="BC38" s="3" t="s">
        <v>319</v>
      </c>
      <c r="BD38" s="3" t="s">
        <v>175</v>
      </c>
      <c r="BE38" s="3" t="s">
        <v>325</v>
      </c>
      <c r="BF38" s="3" t="s">
        <v>321</v>
      </c>
      <c r="BG38" s="5" t="s">
        <v>322</v>
      </c>
      <c r="BH38" s="2"/>
      <c r="BI38" s="2"/>
      <c r="BJ38" s="2"/>
      <c r="BK38" s="2"/>
      <c r="BL38" s="2"/>
    </row>
    <row r="39">
      <c r="C39" s="1">
        <v>263629.0</v>
      </c>
      <c r="D39" s="1">
        <v>292557.0</v>
      </c>
      <c r="E39" s="1">
        <v>3661.51</v>
      </c>
      <c r="F39" s="1">
        <v>33.8</v>
      </c>
      <c r="G39" s="1">
        <v>338.0</v>
      </c>
      <c r="H39" s="1">
        <v>8.0</v>
      </c>
      <c r="I39" s="1">
        <v>7.0</v>
      </c>
      <c r="J39" s="1">
        <v>20.0</v>
      </c>
      <c r="K39" s="1" t="b">
        <v>1</v>
      </c>
      <c r="L39" s="1" t="b">
        <v>0</v>
      </c>
      <c r="M39" s="1" t="b">
        <v>0</v>
      </c>
      <c r="N39" s="1" t="b">
        <v>1</v>
      </c>
      <c r="O39" s="1" t="b">
        <v>1</v>
      </c>
      <c r="P39" s="1" t="b">
        <v>0</v>
      </c>
      <c r="Q39" s="1" t="b">
        <v>1</v>
      </c>
      <c r="R39" s="1" t="s">
        <v>63</v>
      </c>
      <c r="S39" s="1" t="s">
        <v>64</v>
      </c>
      <c r="T39" s="1" t="s">
        <v>65</v>
      </c>
      <c r="U39" s="1">
        <v>5.0</v>
      </c>
      <c r="V39" s="1">
        <v>8.0</v>
      </c>
      <c r="W39" s="1">
        <v>3.0</v>
      </c>
      <c r="X39" s="1">
        <v>1.0</v>
      </c>
      <c r="Y39" s="1" t="s">
        <v>66</v>
      </c>
      <c r="Z39" s="1" t="b">
        <v>0</v>
      </c>
      <c r="AA39" s="1">
        <v>950.0</v>
      </c>
      <c r="AB39" s="1" t="b">
        <v>1</v>
      </c>
      <c r="AC39" s="1">
        <v>72.0</v>
      </c>
      <c r="AD39" s="1">
        <v>17.0</v>
      </c>
      <c r="AE39" s="8">
        <v>45969.0</v>
      </c>
      <c r="AF39" s="1" t="s">
        <v>67</v>
      </c>
      <c r="AG39" s="1" t="s">
        <v>102</v>
      </c>
      <c r="AH39" s="1" t="s">
        <v>326</v>
      </c>
      <c r="AI39" s="1" t="s">
        <v>70</v>
      </c>
      <c r="AJ39" s="1">
        <v>85264.0</v>
      </c>
      <c r="AK39" s="1" t="s">
        <v>71</v>
      </c>
      <c r="AL39" s="1" t="s">
        <v>72</v>
      </c>
      <c r="AM39" s="9" t="s">
        <v>327</v>
      </c>
      <c r="AO39" s="1">
        <v>2654160.0</v>
      </c>
      <c r="AP39" s="1">
        <v>33.621548</v>
      </c>
      <c r="AQ39" s="1">
        <v>-111.609535</v>
      </c>
      <c r="AR39" s="1">
        <v>49.3</v>
      </c>
      <c r="AS39" s="10">
        <f>AVERAGE($C$2:$C$329)</f>
        <v>206948.5429</v>
      </c>
      <c r="AT39" s="1">
        <v>-15.5</v>
      </c>
      <c r="AU39" s="10">
        <f>IFERROR(($AS49-C49)/$AS49,0)</f>
        <v>0.4368841723</v>
      </c>
      <c r="AV39" s="10">
        <f>$AS49-C49</f>
        <v>90412.54286</v>
      </c>
      <c r="AW39" s="1">
        <v>28928.0</v>
      </c>
      <c r="AX39" s="1">
        <v>2654160.0</v>
      </c>
      <c r="AZ39" s="9" t="s">
        <v>328</v>
      </c>
      <c r="BA39" s="1" t="s">
        <v>329</v>
      </c>
      <c r="BE39" s="1" t="s">
        <v>330</v>
      </c>
    </row>
    <row r="40">
      <c r="A40" s="1">
        <v>7.3347506E7</v>
      </c>
      <c r="C40" s="1">
        <v>165191.0</v>
      </c>
      <c r="D40" s="1">
        <v>245052.0</v>
      </c>
      <c r="E40" s="1">
        <v>1558.41</v>
      </c>
      <c r="F40" s="1">
        <v>73.1</v>
      </c>
      <c r="G40" s="1">
        <v>236.0</v>
      </c>
      <c r="H40" s="1">
        <v>5.0</v>
      </c>
      <c r="I40" s="1">
        <v>4.0</v>
      </c>
      <c r="J40" s="1">
        <v>9.0</v>
      </c>
      <c r="K40" s="1" t="b">
        <v>1</v>
      </c>
      <c r="L40" s="1" t="b">
        <v>0</v>
      </c>
      <c r="M40" s="1" t="b">
        <v>1</v>
      </c>
      <c r="N40" s="1" t="b">
        <v>1</v>
      </c>
      <c r="O40" s="1" t="b">
        <v>1</v>
      </c>
      <c r="P40" s="1" t="b">
        <v>0</v>
      </c>
      <c r="Q40" s="1" t="b">
        <v>1</v>
      </c>
      <c r="R40" s="1" t="s">
        <v>63</v>
      </c>
      <c r="S40" s="1" t="s">
        <v>64</v>
      </c>
      <c r="T40" s="1" t="s">
        <v>65</v>
      </c>
      <c r="U40" s="1">
        <v>4.9</v>
      </c>
      <c r="V40" s="1">
        <v>129.0</v>
      </c>
      <c r="W40" s="1">
        <v>4.0</v>
      </c>
      <c r="X40" s="1">
        <v>1.0</v>
      </c>
      <c r="Y40" s="1" t="s">
        <v>66</v>
      </c>
      <c r="Z40" s="1" t="b">
        <v>0</v>
      </c>
      <c r="AA40" s="1">
        <v>449.0</v>
      </c>
      <c r="AB40" s="1" t="b">
        <v>0</v>
      </c>
      <c r="AC40" s="1">
        <v>106.0</v>
      </c>
      <c r="AD40" s="1">
        <v>10.0</v>
      </c>
      <c r="AE40" s="8">
        <v>46153.0</v>
      </c>
      <c r="AF40" s="1" t="s">
        <v>67</v>
      </c>
      <c r="AG40" s="1" t="s">
        <v>68</v>
      </c>
      <c r="AH40" s="1" t="s">
        <v>68</v>
      </c>
      <c r="AI40" s="1" t="s">
        <v>70</v>
      </c>
      <c r="AJ40" s="1">
        <v>85253.0</v>
      </c>
      <c r="AK40" s="1" t="s">
        <v>71</v>
      </c>
      <c r="AL40" s="1" t="s">
        <v>72</v>
      </c>
      <c r="AM40" s="9" t="s">
        <v>331</v>
      </c>
      <c r="AN40" s="1">
        <v>1.3149139E7</v>
      </c>
      <c r="AO40" s="1">
        <v>870735.0</v>
      </c>
      <c r="AP40" s="1">
        <v>33.54559</v>
      </c>
      <c r="AQ40" s="1">
        <v>-111.93441</v>
      </c>
      <c r="AR40" s="1">
        <v>52.34</v>
      </c>
      <c r="AS40" s="10">
        <f t="shared" ref="AS40:AS41" si="10">AVERAGE($C$2:$C$596)</f>
        <v>206948.5429</v>
      </c>
      <c r="AT40" s="1">
        <v>20.76</v>
      </c>
      <c r="AU40" s="10">
        <f>IFERROR(($AS177-C177)/$AS177,0)</f>
        <v>0</v>
      </c>
      <c r="AV40" s="10">
        <f>$AS177-C177</f>
        <v>0</v>
      </c>
      <c r="AW40" s="1">
        <v>79861.0</v>
      </c>
      <c r="AX40" s="1">
        <v>1.3149139E7</v>
      </c>
      <c r="AZ40" s="9" t="s">
        <v>332</v>
      </c>
      <c r="BA40" s="1" t="s">
        <v>333</v>
      </c>
      <c r="BE40" s="1" t="s">
        <v>330</v>
      </c>
    </row>
    <row r="41">
      <c r="A41" s="1">
        <v>8.8946357E7</v>
      </c>
      <c r="C41" s="1">
        <v>265361.0</v>
      </c>
      <c r="D41" s="1">
        <v>335963.0</v>
      </c>
      <c r="E41" s="1">
        <v>2010.31</v>
      </c>
      <c r="F41" s="1">
        <v>45.05</v>
      </c>
      <c r="G41" s="1">
        <v>318.0</v>
      </c>
      <c r="H41" s="1">
        <v>7.0</v>
      </c>
      <c r="I41" s="1">
        <v>7.0</v>
      </c>
      <c r="J41" s="1">
        <v>16.0</v>
      </c>
      <c r="K41" s="1" t="b">
        <v>1</v>
      </c>
      <c r="L41" s="1" t="b">
        <v>0</v>
      </c>
      <c r="M41" s="1" t="b">
        <v>1</v>
      </c>
      <c r="N41" s="1" t="b">
        <v>1</v>
      </c>
      <c r="O41" s="1" t="b">
        <v>1</v>
      </c>
      <c r="P41" s="1" t="b">
        <v>1</v>
      </c>
      <c r="Q41" s="1" t="b">
        <v>1</v>
      </c>
      <c r="R41" s="1" t="s">
        <v>63</v>
      </c>
      <c r="S41" s="1" t="s">
        <v>64</v>
      </c>
      <c r="T41" s="1" t="s">
        <v>65</v>
      </c>
      <c r="U41" s="1">
        <v>5.0</v>
      </c>
      <c r="V41" s="1">
        <v>50.0</v>
      </c>
      <c r="W41" s="1">
        <v>2.0</v>
      </c>
      <c r="X41" s="7">
        <v>46058.0</v>
      </c>
      <c r="Y41" s="1" t="s">
        <v>66</v>
      </c>
      <c r="Z41" s="1" t="b">
        <v>0</v>
      </c>
      <c r="AA41" s="1">
        <v>500.0</v>
      </c>
      <c r="AB41" s="1" t="b">
        <v>0</v>
      </c>
      <c r="AC41" s="1">
        <v>132.0</v>
      </c>
      <c r="AD41" s="1">
        <v>36.0</v>
      </c>
      <c r="AE41" s="8">
        <v>46155.0</v>
      </c>
      <c r="AF41" s="1" t="s">
        <v>67</v>
      </c>
      <c r="AG41" s="1" t="s">
        <v>68</v>
      </c>
      <c r="AH41" s="1" t="s">
        <v>68</v>
      </c>
      <c r="AI41" s="1" t="s">
        <v>70</v>
      </c>
      <c r="AJ41" s="1">
        <v>85253.0</v>
      </c>
      <c r="AK41" s="1" t="s">
        <v>71</v>
      </c>
      <c r="AL41" s="1" t="s">
        <v>72</v>
      </c>
      <c r="AM41" s="9" t="s">
        <v>334</v>
      </c>
      <c r="AN41" s="1">
        <v>1.4445177E7</v>
      </c>
      <c r="AO41" s="1">
        <v>835527.0</v>
      </c>
      <c r="AP41" s="1">
        <v>33.55204</v>
      </c>
      <c r="AQ41" s="1">
        <v>-111.98022</v>
      </c>
      <c r="AR41" s="1">
        <v>53.1</v>
      </c>
      <c r="AS41" s="10">
        <f t="shared" si="10"/>
        <v>206948.5429</v>
      </c>
      <c r="AT41" s="1">
        <v>-8.05</v>
      </c>
      <c r="AU41" s="10">
        <f>IFERROR(($AS98-C98)/$AS98,0)</f>
        <v>0.4286792341</v>
      </c>
      <c r="AV41" s="10">
        <f>$AS98-C98</f>
        <v>88714.54286</v>
      </c>
      <c r="AW41" s="1">
        <v>70602.0</v>
      </c>
      <c r="AX41" s="1">
        <v>1.4445177E7</v>
      </c>
      <c r="AZ41" s="9" t="s">
        <v>335</v>
      </c>
      <c r="BA41" s="1" t="s">
        <v>336</v>
      </c>
      <c r="BE41" s="1" t="s">
        <v>330</v>
      </c>
    </row>
    <row r="42">
      <c r="A42" s="1">
        <v>8.8985247E7</v>
      </c>
      <c r="C42" s="1">
        <v>265637.0</v>
      </c>
      <c r="D42" s="1">
        <v>285072.0</v>
      </c>
      <c r="E42" s="1">
        <v>1770.91</v>
      </c>
      <c r="F42" s="1">
        <v>46.15</v>
      </c>
      <c r="G42" s="1">
        <v>337.0</v>
      </c>
      <c r="H42" s="1">
        <v>9.0</v>
      </c>
      <c r="I42" s="1">
        <v>5.0</v>
      </c>
      <c r="J42" s="1">
        <v>16.0</v>
      </c>
      <c r="K42" s="1" t="b">
        <v>1</v>
      </c>
      <c r="L42" s="1" t="b">
        <v>1</v>
      </c>
      <c r="M42" s="1" t="b">
        <v>1</v>
      </c>
      <c r="N42" s="1" t="b">
        <v>1</v>
      </c>
      <c r="O42" s="1" t="b">
        <v>1</v>
      </c>
      <c r="P42" s="1" t="b">
        <v>1</v>
      </c>
      <c r="Q42" s="1" t="b">
        <v>1</v>
      </c>
      <c r="R42" s="1" t="s">
        <v>63</v>
      </c>
      <c r="S42" s="1" t="s">
        <v>64</v>
      </c>
      <c r="T42" s="1" t="s">
        <v>65</v>
      </c>
      <c r="U42" s="1">
        <v>4.6</v>
      </c>
      <c r="V42" s="1">
        <v>128.0</v>
      </c>
      <c r="W42" s="1">
        <v>4.0</v>
      </c>
      <c r="X42" s="7">
        <v>46058.0</v>
      </c>
      <c r="Y42" s="1" t="s">
        <v>66</v>
      </c>
      <c r="Z42" s="1" t="b">
        <v>0</v>
      </c>
      <c r="AA42" s="1">
        <v>400.0</v>
      </c>
      <c r="AB42" s="1" t="b">
        <v>0</v>
      </c>
      <c r="AC42" s="1">
        <v>150.0</v>
      </c>
      <c r="AD42" s="1">
        <v>33.0</v>
      </c>
      <c r="AE42" s="8">
        <v>46159.0</v>
      </c>
      <c r="AF42" s="1" t="s">
        <v>67</v>
      </c>
      <c r="AG42" s="1" t="s">
        <v>102</v>
      </c>
      <c r="AH42" s="1" t="s">
        <v>102</v>
      </c>
      <c r="AI42" s="1" t="s">
        <v>70</v>
      </c>
      <c r="AJ42" s="1">
        <v>85331.0</v>
      </c>
      <c r="AK42" s="1" t="s">
        <v>71</v>
      </c>
      <c r="AL42" s="1" t="s">
        <v>72</v>
      </c>
      <c r="AM42" s="9" t="s">
        <v>337</v>
      </c>
      <c r="AN42" s="1">
        <v>1.4448956E7</v>
      </c>
      <c r="AO42" s="1">
        <v>285321.0</v>
      </c>
      <c r="AP42" s="1">
        <v>33.80794</v>
      </c>
      <c r="AQ42" s="1">
        <v>-111.99054</v>
      </c>
      <c r="AR42" s="1">
        <v>49.3</v>
      </c>
      <c r="AS42" s="10">
        <f>AVERAGE($C$2:$C$329)</f>
        <v>206948.5429</v>
      </c>
      <c r="AT42" s="1">
        <v>-3.15</v>
      </c>
      <c r="AU42" s="10">
        <f>IFERROR(($AS42-C42)/$AS42,0)</f>
        <v>-0.2835896128</v>
      </c>
      <c r="AV42" s="10">
        <f>$AS42-C42</f>
        <v>-58688.45714</v>
      </c>
      <c r="AW42" s="1">
        <v>19435.0</v>
      </c>
      <c r="AX42" s="1">
        <v>1.4448956E7</v>
      </c>
      <c r="AZ42" s="9" t="s">
        <v>338</v>
      </c>
      <c r="BA42" s="1" t="s">
        <v>339</v>
      </c>
      <c r="BE42" s="1" t="s">
        <v>330</v>
      </c>
    </row>
    <row r="43">
      <c r="A43" s="1">
        <v>3.4603803E7</v>
      </c>
      <c r="C43" s="1">
        <v>183234.0</v>
      </c>
      <c r="D43" s="1">
        <v>284577.0</v>
      </c>
      <c r="E43" s="1">
        <v>1593.34</v>
      </c>
      <c r="F43" s="1">
        <v>53.0</v>
      </c>
      <c r="G43" s="1">
        <v>266.0</v>
      </c>
      <c r="H43" s="1">
        <v>5.0</v>
      </c>
      <c r="I43" s="1">
        <v>4.0</v>
      </c>
      <c r="J43" s="1">
        <v>14.0</v>
      </c>
      <c r="K43" s="1" t="b">
        <v>1</v>
      </c>
      <c r="L43" s="1" t="b">
        <v>1</v>
      </c>
      <c r="M43" s="1" t="b">
        <v>1</v>
      </c>
      <c r="N43" s="1" t="b">
        <v>1</v>
      </c>
      <c r="O43" s="1" t="b">
        <v>1</v>
      </c>
      <c r="P43" s="1" t="b">
        <v>0</v>
      </c>
      <c r="Q43" s="1" t="b">
        <v>1</v>
      </c>
      <c r="R43" s="1" t="s">
        <v>63</v>
      </c>
      <c r="S43" s="1" t="s">
        <v>64</v>
      </c>
      <c r="T43" s="1" t="s">
        <v>65</v>
      </c>
      <c r="U43" s="1">
        <v>5.0</v>
      </c>
      <c r="V43" s="1">
        <v>154.0</v>
      </c>
      <c r="W43" s="1">
        <v>4.0</v>
      </c>
      <c r="X43" s="7">
        <v>46193.0</v>
      </c>
      <c r="Y43" s="1" t="s">
        <v>66</v>
      </c>
      <c r="Z43" s="1" t="b">
        <v>1</v>
      </c>
      <c r="AA43" s="1">
        <v>551.0</v>
      </c>
      <c r="AB43" s="1" t="b">
        <v>0</v>
      </c>
      <c r="AC43" s="1">
        <v>115.0</v>
      </c>
      <c r="AD43" s="1">
        <v>24.0</v>
      </c>
      <c r="AE43" s="8">
        <v>46153.0</v>
      </c>
      <c r="AF43" s="1" t="s">
        <v>67</v>
      </c>
      <c r="AG43" s="1" t="s">
        <v>68</v>
      </c>
      <c r="AH43" s="1" t="s">
        <v>68</v>
      </c>
      <c r="AI43" s="1" t="s">
        <v>70</v>
      </c>
      <c r="AJ43" s="1">
        <v>85253.0</v>
      </c>
      <c r="AK43" s="1" t="s">
        <v>71</v>
      </c>
      <c r="AL43" s="1" t="s">
        <v>72</v>
      </c>
      <c r="AM43" s="9" t="s">
        <v>340</v>
      </c>
      <c r="AN43" s="1">
        <v>1.5059264E7</v>
      </c>
      <c r="AO43" s="1">
        <v>918305.0</v>
      </c>
      <c r="AP43" s="1">
        <v>33.5447</v>
      </c>
      <c r="AQ43" s="1">
        <v>-111.9352</v>
      </c>
      <c r="AR43" s="1">
        <v>52.34</v>
      </c>
      <c r="AS43" s="10">
        <f t="shared" ref="AS43:AS44" si="11">AVERAGE($C$2:$C$596)</f>
        <v>206948.5429</v>
      </c>
      <c r="AT43" s="1">
        <v>0.66</v>
      </c>
      <c r="AU43" s="10">
        <f>IFERROR(($AS158-C158)/$AS158,0)</f>
        <v>0</v>
      </c>
      <c r="AV43" s="10">
        <f>$AS158-C158</f>
        <v>0</v>
      </c>
      <c r="AW43" s="1">
        <v>101343.0</v>
      </c>
      <c r="AX43" s="1">
        <v>1.5059264E7</v>
      </c>
      <c r="AZ43" s="9" t="s">
        <v>341</v>
      </c>
      <c r="BA43" s="1" t="s">
        <v>342</v>
      </c>
      <c r="BE43" s="1" t="s">
        <v>330</v>
      </c>
    </row>
    <row r="44">
      <c r="A44" s="1">
        <v>4860447.0</v>
      </c>
      <c r="C44" s="1">
        <v>222361.0</v>
      </c>
      <c r="D44" s="1">
        <v>261280.0</v>
      </c>
      <c r="E44" s="1">
        <v>1588.29</v>
      </c>
      <c r="F44" s="1">
        <v>45.45</v>
      </c>
      <c r="G44" s="1">
        <v>308.0</v>
      </c>
      <c r="H44" s="1">
        <v>6.0</v>
      </c>
      <c r="I44" s="1">
        <v>6.0</v>
      </c>
      <c r="J44" s="1">
        <v>16.0</v>
      </c>
      <c r="K44" s="1" t="b">
        <v>1</v>
      </c>
      <c r="L44" s="1" t="b">
        <v>1</v>
      </c>
      <c r="M44" s="1" t="b">
        <v>1</v>
      </c>
      <c r="N44" s="1" t="b">
        <v>1</v>
      </c>
      <c r="O44" s="1" t="b">
        <v>1</v>
      </c>
      <c r="P44" s="1" t="b">
        <v>0</v>
      </c>
      <c r="Q44" s="1" t="b">
        <v>1</v>
      </c>
      <c r="R44" s="1" t="s">
        <v>63</v>
      </c>
      <c r="S44" s="1" t="s">
        <v>64</v>
      </c>
      <c r="T44" s="1" t="s">
        <v>65</v>
      </c>
      <c r="U44" s="1">
        <v>4.9</v>
      </c>
      <c r="V44" s="1">
        <v>184.0</v>
      </c>
      <c r="W44" s="1">
        <v>4.0</v>
      </c>
      <c r="X44" s="7">
        <v>46058.0</v>
      </c>
      <c r="Y44" s="1" t="s">
        <v>66</v>
      </c>
      <c r="Z44" s="1" t="b">
        <v>1</v>
      </c>
      <c r="AA44" s="1">
        <v>350.0</v>
      </c>
      <c r="AB44" s="1" t="b">
        <v>0</v>
      </c>
      <c r="AC44" s="1">
        <v>140.0</v>
      </c>
      <c r="AD44" s="1">
        <v>28.0</v>
      </c>
      <c r="AE44" s="8">
        <v>46159.0</v>
      </c>
      <c r="AF44" s="1" t="s">
        <v>67</v>
      </c>
      <c r="AG44" s="1" t="s">
        <v>68</v>
      </c>
      <c r="AH44" s="1" t="s">
        <v>69</v>
      </c>
      <c r="AI44" s="1" t="s">
        <v>70</v>
      </c>
      <c r="AJ44" s="1">
        <v>85259.0</v>
      </c>
      <c r="AK44" s="1" t="s">
        <v>71</v>
      </c>
      <c r="AL44" s="1" t="s">
        <v>72</v>
      </c>
      <c r="AM44" s="9" t="s">
        <v>343</v>
      </c>
      <c r="AN44" s="1">
        <v>1.5820561E7</v>
      </c>
      <c r="AO44" s="1" t="s">
        <v>344</v>
      </c>
      <c r="AP44" s="1">
        <v>33.59283</v>
      </c>
      <c r="AQ44" s="1">
        <v>-111.85264</v>
      </c>
      <c r="AR44" s="1">
        <v>47.11</v>
      </c>
      <c r="AS44" s="10">
        <f t="shared" si="11"/>
        <v>206948.5429</v>
      </c>
      <c r="AT44" s="1">
        <v>-1.66</v>
      </c>
      <c r="AU44" s="10">
        <f>IFERROR(($AS123-C123)/$AS123,0)</f>
        <v>0</v>
      </c>
      <c r="AV44" s="10">
        <f>$AS123-C123</f>
        <v>0</v>
      </c>
      <c r="AW44" s="1">
        <v>38919.0</v>
      </c>
      <c r="AX44" s="1">
        <v>1.5820561E7</v>
      </c>
      <c r="AZ44" s="9" t="s">
        <v>345</v>
      </c>
      <c r="BA44" s="1" t="s">
        <v>346</v>
      </c>
      <c r="BE44" s="1" t="s">
        <v>330</v>
      </c>
    </row>
    <row r="45">
      <c r="A45" s="1">
        <v>1.47676453E8</v>
      </c>
      <c r="C45" s="1">
        <v>153738.0</v>
      </c>
      <c r="D45" s="1">
        <v>161268.0</v>
      </c>
      <c r="E45" s="1">
        <v>1018.13</v>
      </c>
      <c r="F45" s="1">
        <v>59.22</v>
      </c>
      <c r="G45" s="1">
        <v>357.0</v>
      </c>
      <c r="H45" s="1">
        <v>7.0</v>
      </c>
      <c r="I45" s="1">
        <v>4.0</v>
      </c>
      <c r="J45" s="1">
        <v>14.0</v>
      </c>
      <c r="K45" s="1" t="b">
        <v>1</v>
      </c>
      <c r="L45" s="1" t="b">
        <v>0</v>
      </c>
      <c r="M45" s="1" t="b">
        <v>1</v>
      </c>
      <c r="N45" s="1" t="b">
        <v>1</v>
      </c>
      <c r="O45" s="1" t="b">
        <v>1</v>
      </c>
      <c r="P45" s="1" t="b">
        <v>0</v>
      </c>
      <c r="Q45" s="1" t="b">
        <v>1</v>
      </c>
      <c r="R45" s="1" t="s">
        <v>63</v>
      </c>
      <c r="S45" s="1" t="s">
        <v>64</v>
      </c>
      <c r="T45" s="1" t="s">
        <v>65</v>
      </c>
      <c r="U45" s="1">
        <v>5.0</v>
      </c>
      <c r="V45" s="1">
        <v>248.0</v>
      </c>
      <c r="W45" s="1">
        <v>3.0</v>
      </c>
      <c r="X45" s="7">
        <v>46058.0</v>
      </c>
      <c r="Y45" s="1" t="s">
        <v>66</v>
      </c>
      <c r="Z45" s="1" t="b">
        <v>1</v>
      </c>
      <c r="AA45" s="1">
        <v>327.0</v>
      </c>
      <c r="AB45" s="1" t="b">
        <v>0</v>
      </c>
      <c r="AC45" s="1">
        <v>151.0</v>
      </c>
      <c r="AD45" s="1">
        <v>33.0</v>
      </c>
      <c r="AE45" s="8">
        <v>46153.0</v>
      </c>
      <c r="AF45" s="1" t="s">
        <v>268</v>
      </c>
      <c r="AG45" s="1" t="s">
        <v>347</v>
      </c>
      <c r="AH45" s="1" t="s">
        <v>347</v>
      </c>
      <c r="AI45" s="1" t="s">
        <v>70</v>
      </c>
      <c r="AJ45" s="1">
        <v>86040.0</v>
      </c>
      <c r="AK45" s="1" t="s">
        <v>71</v>
      </c>
      <c r="AL45" s="1" t="s">
        <v>123</v>
      </c>
      <c r="AM45" s="9" t="s">
        <v>348</v>
      </c>
      <c r="AN45" s="1">
        <v>2.0650707E7</v>
      </c>
      <c r="AO45" s="1">
        <v>644124.0</v>
      </c>
      <c r="AP45" s="1">
        <v>36.93218</v>
      </c>
      <c r="AQ45" s="1">
        <v>-111.46644</v>
      </c>
      <c r="AR45" s="1">
        <v>50.34</v>
      </c>
      <c r="AS45" s="10">
        <f>AVERAGE($C$2:$C$179)</f>
        <v>206948.5429</v>
      </c>
      <c r="AT45" s="1">
        <v>8.88</v>
      </c>
      <c r="AU45" s="10">
        <f>IFERROR(($AS32-C32)/$AS32,0)</f>
        <v>-0.2872185342</v>
      </c>
      <c r="AV45" s="10">
        <f>$AS32-C32</f>
        <v>-59439.45714</v>
      </c>
      <c r="AW45" s="1">
        <v>7530.0</v>
      </c>
      <c r="AX45" s="1">
        <v>2.0650707E7</v>
      </c>
      <c r="AZ45" s="9" t="s">
        <v>349</v>
      </c>
      <c r="BA45" s="1" t="s">
        <v>350</v>
      </c>
      <c r="BE45" s="1" t="s">
        <v>330</v>
      </c>
    </row>
    <row r="46">
      <c r="A46" s="1">
        <v>2.906165E8</v>
      </c>
      <c r="C46" s="1">
        <v>192450.0</v>
      </c>
      <c r="D46" s="1">
        <v>209962.0</v>
      </c>
      <c r="E46" s="1">
        <v>1886.76</v>
      </c>
      <c r="F46" s="1">
        <v>33.55</v>
      </c>
      <c r="G46" s="1">
        <v>325.0</v>
      </c>
      <c r="H46" s="1">
        <v>10.0</v>
      </c>
      <c r="I46" s="1">
        <v>10.0</v>
      </c>
      <c r="J46" s="1">
        <v>16.0</v>
      </c>
      <c r="K46" s="1" t="b">
        <v>1</v>
      </c>
      <c r="L46" s="1" t="b">
        <v>1</v>
      </c>
      <c r="M46" s="1" t="b">
        <v>1</v>
      </c>
      <c r="N46" s="1" t="b">
        <v>1</v>
      </c>
      <c r="O46" s="1" t="b">
        <v>1</v>
      </c>
      <c r="P46" s="1" t="b">
        <v>1</v>
      </c>
      <c r="Q46" s="1" t="b">
        <v>1</v>
      </c>
      <c r="R46" s="1" t="s">
        <v>63</v>
      </c>
      <c r="S46" s="1" t="s">
        <v>83</v>
      </c>
      <c r="T46" s="1" t="s">
        <v>65</v>
      </c>
      <c r="U46" s="1">
        <v>4.75</v>
      </c>
      <c r="V46" s="1">
        <v>140.0</v>
      </c>
      <c r="W46" s="1">
        <v>2.0</v>
      </c>
      <c r="X46" s="1">
        <v>1.0</v>
      </c>
      <c r="Y46" s="1" t="s">
        <v>66</v>
      </c>
      <c r="Z46" s="1" t="b">
        <v>0</v>
      </c>
      <c r="AA46" s="1">
        <v>346.0</v>
      </c>
      <c r="AB46" s="1" t="b">
        <v>0</v>
      </c>
      <c r="AC46" s="1">
        <v>102.0</v>
      </c>
      <c r="AD46" s="1">
        <v>30.0</v>
      </c>
      <c r="AE46" s="8">
        <v>45949.0</v>
      </c>
      <c r="AF46" s="1" t="s">
        <v>67</v>
      </c>
      <c r="AG46" s="1" t="s">
        <v>68</v>
      </c>
      <c r="AH46" s="1" t="s">
        <v>68</v>
      </c>
      <c r="AI46" s="1" t="s">
        <v>70</v>
      </c>
      <c r="AJ46" s="1">
        <v>85253.0</v>
      </c>
      <c r="AK46" s="1" t="s">
        <v>71</v>
      </c>
      <c r="AL46" s="1" t="s">
        <v>72</v>
      </c>
      <c r="AM46" s="9" t="s">
        <v>351</v>
      </c>
      <c r="AN46" s="1">
        <v>3.8241569E7</v>
      </c>
      <c r="AO46" s="1">
        <v>1864916.0</v>
      </c>
      <c r="AP46" s="1">
        <v>33.52464</v>
      </c>
      <c r="AQ46" s="1">
        <v>-111.96816</v>
      </c>
      <c r="AR46" s="1">
        <v>53.1</v>
      </c>
      <c r="AS46" s="10">
        <f t="shared" ref="AS46:AS47" si="12">AVERAGE($C$2:$C$596)</f>
        <v>206948.5429</v>
      </c>
      <c r="AT46" s="1">
        <v>-19.55</v>
      </c>
      <c r="AU46" s="10">
        <f>IFERROR(($AS145-C145)/$AS145,0)</f>
        <v>0</v>
      </c>
      <c r="AV46" s="10">
        <f>$AS145-C145</f>
        <v>0</v>
      </c>
      <c r="AW46" s="1">
        <v>17512.0</v>
      </c>
      <c r="AX46" s="1">
        <v>3.8241569E7</v>
      </c>
      <c r="AZ46" s="9" t="s">
        <v>352</v>
      </c>
      <c r="BA46" s="1" t="s">
        <v>353</v>
      </c>
      <c r="BE46" s="1" t="s">
        <v>330</v>
      </c>
    </row>
    <row r="47">
      <c r="A47" s="1">
        <v>3.03904458E8</v>
      </c>
      <c r="C47" s="1">
        <v>193627.0</v>
      </c>
      <c r="D47" s="1">
        <v>217989.0</v>
      </c>
      <c r="E47" s="1">
        <v>1317.19</v>
      </c>
      <c r="F47" s="1">
        <v>48.51</v>
      </c>
      <c r="G47" s="1">
        <v>307.0</v>
      </c>
      <c r="H47" s="1">
        <v>8.0</v>
      </c>
      <c r="I47" s="1">
        <v>6.0</v>
      </c>
      <c r="J47" s="1">
        <v>16.0</v>
      </c>
      <c r="K47" s="1" t="b">
        <v>1</v>
      </c>
      <c r="L47" s="1" t="b">
        <v>0</v>
      </c>
      <c r="M47" s="1" t="b">
        <v>1</v>
      </c>
      <c r="N47" s="1" t="b">
        <v>1</v>
      </c>
      <c r="O47" s="1" t="b">
        <v>1</v>
      </c>
      <c r="P47" s="1" t="b">
        <v>1</v>
      </c>
      <c r="Q47" s="1" t="b">
        <v>1</v>
      </c>
      <c r="R47" s="1" t="s">
        <v>63</v>
      </c>
      <c r="S47" s="1" t="s">
        <v>64</v>
      </c>
      <c r="T47" s="1" t="s">
        <v>65</v>
      </c>
      <c r="U47" s="1">
        <v>4.95</v>
      </c>
      <c r="V47" s="1">
        <v>197.0</v>
      </c>
      <c r="W47" s="1">
        <v>2.0</v>
      </c>
      <c r="X47" s="7">
        <v>46058.0</v>
      </c>
      <c r="Y47" s="1" t="s">
        <v>66</v>
      </c>
      <c r="Z47" s="1" t="b">
        <v>1</v>
      </c>
      <c r="AA47" s="1">
        <v>601.0</v>
      </c>
      <c r="AB47" s="1" t="b">
        <v>1</v>
      </c>
      <c r="AC47" s="1">
        <v>147.0</v>
      </c>
      <c r="AD47" s="1">
        <v>35.0</v>
      </c>
      <c r="AE47" s="8">
        <v>46153.0</v>
      </c>
      <c r="AF47" s="1" t="s">
        <v>67</v>
      </c>
      <c r="AG47" s="1" t="s">
        <v>68</v>
      </c>
      <c r="AH47" s="1" t="s">
        <v>69</v>
      </c>
      <c r="AI47" s="1" t="s">
        <v>70</v>
      </c>
      <c r="AJ47" s="1">
        <v>85254.0</v>
      </c>
      <c r="AK47" s="1" t="s">
        <v>71</v>
      </c>
      <c r="AL47" s="1" t="s">
        <v>72</v>
      </c>
      <c r="AM47" s="9" t="s">
        <v>354</v>
      </c>
      <c r="AN47" s="1">
        <v>3.9553376E7</v>
      </c>
      <c r="AO47" s="1" t="s">
        <v>355</v>
      </c>
      <c r="AP47" s="1">
        <v>33.6166</v>
      </c>
      <c r="AQ47" s="1">
        <v>-111.9608</v>
      </c>
      <c r="AR47" s="1">
        <v>53.1</v>
      </c>
      <c r="AS47" s="10">
        <f t="shared" si="12"/>
        <v>206948.5429</v>
      </c>
      <c r="AT47" s="1">
        <v>-4.59</v>
      </c>
      <c r="AU47" s="10">
        <f>IFERROR(($AS140-C140)/$AS140,0)</f>
        <v>0</v>
      </c>
      <c r="AV47" s="10">
        <f>$AS140-C140</f>
        <v>0</v>
      </c>
      <c r="AW47" s="1">
        <v>24362.0</v>
      </c>
      <c r="AX47" s="1">
        <v>3.9553376E7</v>
      </c>
      <c r="AZ47" s="9" t="s">
        <v>356</v>
      </c>
      <c r="BA47" s="1" t="s">
        <v>357</v>
      </c>
      <c r="BE47" s="1" t="s">
        <v>330</v>
      </c>
    </row>
    <row r="48">
      <c r="A48" s="1">
        <v>5245520.0</v>
      </c>
      <c r="C48" s="1">
        <v>113873.0</v>
      </c>
      <c r="D48" s="1">
        <v>194668.0</v>
      </c>
      <c r="E48" s="1">
        <v>1308.89</v>
      </c>
      <c r="F48" s="1">
        <v>42.65</v>
      </c>
      <c r="G48" s="1">
        <v>251.0</v>
      </c>
      <c r="H48" s="1">
        <v>9.0</v>
      </c>
      <c r="I48" s="1">
        <v>6.0</v>
      </c>
      <c r="J48" s="1">
        <v>16.0</v>
      </c>
      <c r="K48" s="1" t="b">
        <v>1</v>
      </c>
      <c r="L48" s="1" t="b">
        <v>0</v>
      </c>
      <c r="M48" s="1" t="b">
        <v>0</v>
      </c>
      <c r="N48" s="1" t="b">
        <v>1</v>
      </c>
      <c r="O48" s="1" t="b">
        <v>1</v>
      </c>
      <c r="P48" s="1" t="b">
        <v>1</v>
      </c>
      <c r="Q48" s="1" t="b">
        <v>0</v>
      </c>
      <c r="R48" s="1" t="s">
        <v>63</v>
      </c>
      <c r="S48" s="1" t="s">
        <v>64</v>
      </c>
      <c r="T48" s="1" t="s">
        <v>65</v>
      </c>
      <c r="U48" s="1">
        <v>5.0</v>
      </c>
      <c r="V48" s="1">
        <v>8.0</v>
      </c>
      <c r="W48" s="1">
        <v>1.0</v>
      </c>
      <c r="X48" s="7">
        <v>46193.0</v>
      </c>
      <c r="Y48" s="1" t="s">
        <v>66</v>
      </c>
      <c r="Z48" s="1" t="b">
        <v>1</v>
      </c>
      <c r="AA48" s="1">
        <v>650.0</v>
      </c>
      <c r="AB48" s="1" t="b">
        <v>1</v>
      </c>
      <c r="AC48" s="1">
        <v>87.0</v>
      </c>
      <c r="AD48" s="1">
        <v>37.0</v>
      </c>
      <c r="AE48" s="8">
        <v>46155.0</v>
      </c>
      <c r="AF48" s="1" t="s">
        <v>268</v>
      </c>
      <c r="AG48" s="1" t="s">
        <v>347</v>
      </c>
      <c r="AH48" s="1" t="s">
        <v>347</v>
      </c>
      <c r="AI48" s="1" t="s">
        <v>70</v>
      </c>
      <c r="AJ48" s="1">
        <v>86040.0</v>
      </c>
      <c r="AK48" s="1" t="s">
        <v>71</v>
      </c>
      <c r="AL48" s="1" t="s">
        <v>123</v>
      </c>
      <c r="AM48" s="9" t="s">
        <v>358</v>
      </c>
      <c r="AN48" s="1">
        <v>4.1090061E7</v>
      </c>
      <c r="AO48" s="1" t="s">
        <v>359</v>
      </c>
      <c r="AP48" s="1">
        <v>36.8937</v>
      </c>
      <c r="AQ48" s="1">
        <v>-111.4711</v>
      </c>
      <c r="AR48" s="1">
        <v>50.34</v>
      </c>
      <c r="AS48" s="10">
        <f>AVERAGE($C$2:$C$179)</f>
        <v>206948.5429</v>
      </c>
      <c r="AT48" s="1">
        <v>-7.69</v>
      </c>
      <c r="AU48" s="10">
        <f>IFERROR(($AS32-C32)/$AS32,0)</f>
        <v>-0.2872185342</v>
      </c>
      <c r="AV48" s="10">
        <f>$AS32-C32</f>
        <v>-59439.45714</v>
      </c>
      <c r="AW48" s="1">
        <v>80795.0</v>
      </c>
      <c r="AX48" s="1">
        <v>4.1090061E7</v>
      </c>
      <c r="AZ48" s="9" t="s">
        <v>360</v>
      </c>
      <c r="BA48" s="1" t="s">
        <v>361</v>
      </c>
      <c r="BE48" s="1" t="s">
        <v>330</v>
      </c>
    </row>
    <row r="49">
      <c r="A49" s="1">
        <v>3.73565992E8</v>
      </c>
      <c r="C49" s="1">
        <v>116536.0</v>
      </c>
      <c r="D49" s="1">
        <v>181017.0</v>
      </c>
      <c r="E49" s="1">
        <v>1456.7</v>
      </c>
      <c r="F49" s="1">
        <v>31.5</v>
      </c>
      <c r="G49" s="1">
        <v>308.0</v>
      </c>
      <c r="H49" s="1">
        <v>6.0</v>
      </c>
      <c r="I49" s="1">
        <v>5.0</v>
      </c>
      <c r="J49" s="1">
        <v>16.0</v>
      </c>
      <c r="K49" s="1" t="b">
        <v>1</v>
      </c>
      <c r="L49" s="1" t="b">
        <v>1</v>
      </c>
      <c r="M49" s="1" t="b">
        <v>0</v>
      </c>
      <c r="N49" s="1" t="b">
        <v>1</v>
      </c>
      <c r="O49" s="1" t="b">
        <v>1</v>
      </c>
      <c r="P49" s="1" t="b">
        <v>1</v>
      </c>
      <c r="Q49" s="1" t="b">
        <v>1</v>
      </c>
      <c r="R49" s="1" t="s">
        <v>63</v>
      </c>
      <c r="S49" s="1" t="s">
        <v>64</v>
      </c>
      <c r="T49" s="1" t="s">
        <v>65</v>
      </c>
      <c r="U49" s="1">
        <v>4.95</v>
      </c>
      <c r="V49" s="1">
        <v>171.0</v>
      </c>
      <c r="W49" s="1">
        <v>3.0</v>
      </c>
      <c r="X49" s="7">
        <v>46058.0</v>
      </c>
      <c r="Y49" s="1" t="s">
        <v>66</v>
      </c>
      <c r="Z49" s="1" t="b">
        <v>1</v>
      </c>
      <c r="AA49" s="1">
        <v>650.0</v>
      </c>
      <c r="AB49" s="1" t="b">
        <v>0</v>
      </c>
      <c r="AC49" s="1">
        <v>80.0</v>
      </c>
      <c r="AD49" s="1">
        <v>23.0</v>
      </c>
      <c r="AE49" s="8">
        <v>46155.0</v>
      </c>
      <c r="AF49" s="1" t="s">
        <v>67</v>
      </c>
      <c r="AG49" s="1" t="s">
        <v>68</v>
      </c>
      <c r="AH49" s="1" t="s">
        <v>69</v>
      </c>
      <c r="AI49" s="1" t="s">
        <v>70</v>
      </c>
      <c r="AJ49" s="1">
        <v>85259.0</v>
      </c>
      <c r="AK49" s="1" t="s">
        <v>71</v>
      </c>
      <c r="AL49" s="1" t="s">
        <v>72</v>
      </c>
      <c r="AM49" s="9" t="s">
        <v>362</v>
      </c>
      <c r="AN49" s="1">
        <v>4.6093049E7</v>
      </c>
      <c r="AP49" s="1">
        <v>33.60107</v>
      </c>
      <c r="AQ49" s="1">
        <v>-111.85362</v>
      </c>
      <c r="AR49" s="1">
        <v>47.11</v>
      </c>
      <c r="AS49" s="10">
        <f t="shared" ref="AS49:AS50" si="13">AVERAGE($C$2:$C$596)</f>
        <v>206948.5429</v>
      </c>
      <c r="AT49" s="1">
        <v>-15.61</v>
      </c>
      <c r="AU49" s="10">
        <f>IFERROR(($AS241-C241)/$AS241,0)</f>
        <v>0</v>
      </c>
      <c r="AV49" s="10">
        <f>$AS241-C241</f>
        <v>0</v>
      </c>
      <c r="AW49" s="1">
        <v>64481.0</v>
      </c>
      <c r="AX49" s="1">
        <v>4.6093049E7</v>
      </c>
      <c r="AZ49" s="9" t="s">
        <v>363</v>
      </c>
      <c r="BA49" s="1" t="s">
        <v>364</v>
      </c>
      <c r="BE49" s="1" t="s">
        <v>330</v>
      </c>
    </row>
    <row r="50">
      <c r="A50" s="1">
        <v>8.2189953E7</v>
      </c>
      <c r="C50" s="1">
        <v>129876.0</v>
      </c>
      <c r="D50" s="1">
        <v>149356.0</v>
      </c>
      <c r="E50" s="1">
        <v>1396.52</v>
      </c>
      <c r="F50" s="1">
        <v>29.81</v>
      </c>
      <c r="G50" s="1">
        <v>337.0</v>
      </c>
      <c r="H50" s="1">
        <v>7.0</v>
      </c>
      <c r="I50" s="1">
        <v>4.0</v>
      </c>
      <c r="J50" s="1">
        <v>16.0</v>
      </c>
      <c r="K50" s="1" t="b">
        <v>1</v>
      </c>
      <c r="L50" s="1" t="b">
        <v>1</v>
      </c>
      <c r="M50" s="1" t="b">
        <v>1</v>
      </c>
      <c r="N50" s="1" t="b">
        <v>1</v>
      </c>
      <c r="O50" s="1" t="b">
        <v>1</v>
      </c>
      <c r="P50" s="1" t="b">
        <v>1</v>
      </c>
      <c r="Q50" s="1" t="b">
        <v>1</v>
      </c>
      <c r="R50" s="1" t="s">
        <v>63</v>
      </c>
      <c r="S50" s="1" t="s">
        <v>64</v>
      </c>
      <c r="T50" s="1" t="s">
        <v>65</v>
      </c>
      <c r="U50" s="1">
        <v>4.95</v>
      </c>
      <c r="V50" s="1">
        <v>156.0</v>
      </c>
      <c r="W50" s="1">
        <v>3.0</v>
      </c>
      <c r="X50" s="7">
        <v>46193.0</v>
      </c>
      <c r="Y50" s="1" t="s">
        <v>66</v>
      </c>
      <c r="Z50" s="1" t="b">
        <v>1</v>
      </c>
      <c r="AA50" s="1">
        <v>400.0</v>
      </c>
      <c r="AB50" s="1" t="b">
        <v>1</v>
      </c>
      <c r="AC50" s="1">
        <v>93.0</v>
      </c>
      <c r="AD50" s="1">
        <v>27.0</v>
      </c>
      <c r="AE50" s="8">
        <v>46153.0</v>
      </c>
      <c r="AF50" s="1" t="s">
        <v>67</v>
      </c>
      <c r="AG50" s="1" t="s">
        <v>68</v>
      </c>
      <c r="AH50" s="1" t="s">
        <v>68</v>
      </c>
      <c r="AI50" s="1" t="s">
        <v>70</v>
      </c>
      <c r="AJ50" s="1">
        <v>85253.0</v>
      </c>
      <c r="AK50" s="1" t="s">
        <v>71</v>
      </c>
      <c r="AL50" s="1" t="s">
        <v>72</v>
      </c>
      <c r="AM50" s="9" t="s">
        <v>365</v>
      </c>
      <c r="AN50" s="1">
        <v>4.6641901E7</v>
      </c>
      <c r="AO50" s="1">
        <v>2131180.0</v>
      </c>
      <c r="AP50" s="1">
        <v>33.5784</v>
      </c>
      <c r="AQ50" s="1">
        <v>-111.9381</v>
      </c>
      <c r="AR50" s="1">
        <v>53.1</v>
      </c>
      <c r="AS50" s="10">
        <f t="shared" si="13"/>
        <v>206948.5429</v>
      </c>
      <c r="AT50" s="1">
        <v>-23.29</v>
      </c>
      <c r="AU50" s="10">
        <f>IFERROR(($AS222-C222)/$AS222,0)</f>
        <v>0</v>
      </c>
      <c r="AV50" s="10">
        <f>$AS222-C222</f>
        <v>0</v>
      </c>
      <c r="AW50" s="1">
        <v>19480.0</v>
      </c>
      <c r="AX50" s="1">
        <v>4.6641901E7</v>
      </c>
      <c r="AZ50" s="9" t="s">
        <v>366</v>
      </c>
      <c r="BA50" s="1" t="s">
        <v>367</v>
      </c>
      <c r="BE50" s="1" t="s">
        <v>330</v>
      </c>
    </row>
    <row r="51">
      <c r="A51" s="1">
        <v>1.43579158E8</v>
      </c>
      <c r="C51" s="1">
        <v>107889.0</v>
      </c>
      <c r="D51" s="1">
        <v>111238.0</v>
      </c>
      <c r="E51" s="1">
        <v>817.34</v>
      </c>
      <c r="F51" s="1">
        <v>38.48</v>
      </c>
      <c r="G51" s="1">
        <v>357.0</v>
      </c>
      <c r="H51" s="1">
        <v>8.0</v>
      </c>
      <c r="I51" s="1">
        <v>5.0</v>
      </c>
      <c r="J51" s="1">
        <v>16.0</v>
      </c>
      <c r="K51" s="1" t="b">
        <v>1</v>
      </c>
      <c r="L51" s="1" t="b">
        <v>0</v>
      </c>
      <c r="M51" s="1" t="b">
        <v>0</v>
      </c>
      <c r="N51" s="1" t="b">
        <v>1</v>
      </c>
      <c r="O51" s="1" t="b">
        <v>1</v>
      </c>
      <c r="P51" s="1" t="b">
        <v>1</v>
      </c>
      <c r="Q51" s="1" t="b">
        <v>0</v>
      </c>
      <c r="R51" s="1" t="s">
        <v>63</v>
      </c>
      <c r="S51" s="1" t="s">
        <v>119</v>
      </c>
      <c r="T51" s="1" t="s">
        <v>65</v>
      </c>
      <c r="U51" s="1">
        <v>4.85</v>
      </c>
      <c r="V51" s="1">
        <v>121.0</v>
      </c>
      <c r="W51" s="1">
        <v>2.0</v>
      </c>
      <c r="X51" s="7">
        <v>46058.0</v>
      </c>
      <c r="Y51" s="1" t="s">
        <v>66</v>
      </c>
      <c r="Z51" s="1" t="b">
        <v>1</v>
      </c>
      <c r="AA51" s="1">
        <v>550.0</v>
      </c>
      <c r="AB51" s="1" t="b">
        <v>1</v>
      </c>
      <c r="AC51" s="1">
        <v>132.0</v>
      </c>
      <c r="AD51" s="1">
        <v>38.0</v>
      </c>
      <c r="AE51" s="8">
        <v>46153.0</v>
      </c>
      <c r="AF51" s="1" t="s">
        <v>120</v>
      </c>
      <c r="AG51" s="1" t="s">
        <v>368</v>
      </c>
      <c r="AH51" s="1" t="s">
        <v>368</v>
      </c>
      <c r="AI51" s="1" t="s">
        <v>70</v>
      </c>
      <c r="AJ51" s="1">
        <v>85935.0</v>
      </c>
      <c r="AK51" s="1" t="s">
        <v>71</v>
      </c>
      <c r="AL51" s="1" t="s">
        <v>123</v>
      </c>
      <c r="AM51" s="9" t="s">
        <v>369</v>
      </c>
      <c r="AN51" s="1">
        <v>4.6854293E7</v>
      </c>
      <c r="AO51" s="1">
        <v>2065452.0</v>
      </c>
      <c r="AP51" s="1">
        <v>34.11682</v>
      </c>
      <c r="AQ51" s="1">
        <v>-109.94608</v>
      </c>
      <c r="AR51" s="1">
        <v>35.34</v>
      </c>
      <c r="AS51" s="10">
        <f>AVERAGE($C$2:$C$407)</f>
        <v>206948.5429</v>
      </c>
      <c r="AT51" s="1">
        <v>3.14</v>
      </c>
      <c r="AU51" s="10">
        <f>IFERROR(($AS30-C30)/$AS30,0)</f>
        <v>0.3473208454</v>
      </c>
      <c r="AV51" s="10">
        <f>$AS30-C30</f>
        <v>71877.54286</v>
      </c>
      <c r="AW51" s="1">
        <v>3349.0</v>
      </c>
      <c r="AX51" s="1">
        <v>4.6854293E7</v>
      </c>
      <c r="AZ51" s="9" t="s">
        <v>370</v>
      </c>
      <c r="BA51" s="1" t="s">
        <v>371</v>
      </c>
      <c r="BE51" s="1" t="s">
        <v>330</v>
      </c>
    </row>
    <row r="52">
      <c r="A52" s="1">
        <v>2.28734491E8</v>
      </c>
      <c r="C52" s="1">
        <v>235573.0</v>
      </c>
      <c r="D52" s="1">
        <v>246338.0</v>
      </c>
      <c r="E52" s="1">
        <v>1560.09</v>
      </c>
      <c r="F52" s="1">
        <v>44.94</v>
      </c>
      <c r="G52" s="1">
        <v>348.0</v>
      </c>
      <c r="H52" s="1">
        <v>7.0</v>
      </c>
      <c r="I52" s="1">
        <v>6.0</v>
      </c>
      <c r="J52" s="1">
        <v>16.0</v>
      </c>
      <c r="K52" s="1" t="b">
        <v>1</v>
      </c>
      <c r="L52" s="1" t="b">
        <v>0</v>
      </c>
      <c r="M52" s="1" t="b">
        <v>1</v>
      </c>
      <c r="N52" s="1" t="b">
        <v>1</v>
      </c>
      <c r="O52" s="1" t="b">
        <v>1</v>
      </c>
      <c r="P52" s="1" t="b">
        <v>0</v>
      </c>
      <c r="Q52" s="1" t="b">
        <v>1</v>
      </c>
      <c r="R52" s="1" t="s">
        <v>63</v>
      </c>
      <c r="S52" s="1" t="s">
        <v>64</v>
      </c>
      <c r="T52" s="1" t="s">
        <v>65</v>
      </c>
      <c r="U52" s="1">
        <v>5.0</v>
      </c>
      <c r="V52" s="1">
        <v>232.0</v>
      </c>
      <c r="W52" s="1">
        <v>3.0</v>
      </c>
      <c r="X52" s="7">
        <v>46058.0</v>
      </c>
      <c r="Y52" s="1" t="s">
        <v>66</v>
      </c>
      <c r="Z52" s="1" t="b">
        <v>1</v>
      </c>
      <c r="AA52" s="1">
        <v>498.0</v>
      </c>
      <c r="AB52" s="1" t="b">
        <v>0</v>
      </c>
      <c r="AC52" s="1">
        <v>151.0</v>
      </c>
      <c r="AD52" s="1">
        <v>42.0</v>
      </c>
      <c r="AE52" s="8">
        <v>46159.0</v>
      </c>
      <c r="AF52" s="1" t="s">
        <v>67</v>
      </c>
      <c r="AG52" s="1" t="s">
        <v>68</v>
      </c>
      <c r="AH52" s="1" t="s">
        <v>69</v>
      </c>
      <c r="AI52" s="1" t="s">
        <v>70</v>
      </c>
      <c r="AJ52" s="1">
        <v>85254.0</v>
      </c>
      <c r="AK52" s="1" t="s">
        <v>71</v>
      </c>
      <c r="AL52" s="1" t="s">
        <v>72</v>
      </c>
      <c r="AM52" s="9" t="s">
        <v>372</v>
      </c>
      <c r="AN52" s="1">
        <v>4.7911878E7</v>
      </c>
      <c r="AO52" s="1" t="s">
        <v>373</v>
      </c>
      <c r="AP52" s="1">
        <v>33.6153</v>
      </c>
      <c r="AQ52" s="1">
        <v>-111.92918</v>
      </c>
      <c r="AR52" s="1">
        <v>53.1</v>
      </c>
      <c r="AS52" s="10">
        <f>AVERAGE($C$2:$C$596)</f>
        <v>206948.5429</v>
      </c>
      <c r="AT52" s="1">
        <v>-8.16</v>
      </c>
      <c r="AU52" s="10">
        <f>IFERROR(($AS108-C108)/$AS108,0)</f>
        <v>0</v>
      </c>
      <c r="AV52" s="10">
        <f>$AS108-C108</f>
        <v>0</v>
      </c>
      <c r="AW52" s="1">
        <v>10765.0</v>
      </c>
      <c r="AX52" s="1">
        <v>4.7911878E7</v>
      </c>
      <c r="AZ52" s="9" t="s">
        <v>374</v>
      </c>
      <c r="BA52" s="1" t="s">
        <v>375</v>
      </c>
      <c r="BE52" s="1" t="s">
        <v>330</v>
      </c>
    </row>
    <row r="53">
      <c r="A53" s="1">
        <v>3.99226186E8</v>
      </c>
      <c r="C53" s="1">
        <v>136855.0</v>
      </c>
      <c r="D53" s="1">
        <v>165475.0</v>
      </c>
      <c r="E53" s="1">
        <v>2443.84</v>
      </c>
      <c r="F53" s="1">
        <v>33.14</v>
      </c>
      <c r="G53" s="1">
        <v>298.0</v>
      </c>
      <c r="H53" s="1">
        <v>8.0</v>
      </c>
      <c r="I53" s="1">
        <v>8.0</v>
      </c>
      <c r="J53" s="1">
        <v>16.0</v>
      </c>
      <c r="K53" s="1" t="b">
        <v>1</v>
      </c>
      <c r="L53" s="1" t="b">
        <v>0</v>
      </c>
      <c r="M53" s="1" t="b">
        <v>1</v>
      </c>
      <c r="N53" s="1" t="b">
        <v>1</v>
      </c>
      <c r="O53" s="1" t="b">
        <v>1</v>
      </c>
      <c r="P53" s="1" t="b">
        <v>0</v>
      </c>
      <c r="Q53" s="1" t="b">
        <v>1</v>
      </c>
      <c r="R53" s="1" t="s">
        <v>63</v>
      </c>
      <c r="S53" s="1" t="s">
        <v>83</v>
      </c>
      <c r="T53" s="1" t="s">
        <v>65</v>
      </c>
      <c r="U53" s="1">
        <v>4.9</v>
      </c>
      <c r="V53" s="1">
        <v>41.0</v>
      </c>
      <c r="W53" s="1">
        <v>3.0</v>
      </c>
      <c r="X53" s="7">
        <v>46058.0</v>
      </c>
      <c r="Y53" s="1" t="s">
        <v>66</v>
      </c>
      <c r="Z53" s="1" t="b">
        <v>1</v>
      </c>
      <c r="AA53" s="1">
        <v>699.0</v>
      </c>
      <c r="AB53" s="1" t="b">
        <v>1</v>
      </c>
      <c r="AC53" s="1">
        <v>56.0</v>
      </c>
      <c r="AD53" s="1">
        <v>17.0</v>
      </c>
      <c r="AE53" s="8">
        <v>46159.0</v>
      </c>
      <c r="AF53" s="1" t="s">
        <v>376</v>
      </c>
      <c r="AG53" s="1" t="s">
        <v>377</v>
      </c>
      <c r="AH53" s="1" t="s">
        <v>377</v>
      </c>
      <c r="AI53" s="1" t="s">
        <v>70</v>
      </c>
      <c r="AJ53" s="1">
        <v>86406.0</v>
      </c>
      <c r="AK53" s="1" t="s">
        <v>71</v>
      </c>
      <c r="AL53" s="1" t="s">
        <v>123</v>
      </c>
      <c r="AM53" s="9" t="s">
        <v>378</v>
      </c>
      <c r="AN53" s="1">
        <v>5.1520493E7</v>
      </c>
      <c r="AO53" s="1">
        <v>2425137.0</v>
      </c>
      <c r="AP53" s="1">
        <v>34.45621</v>
      </c>
      <c r="AQ53" s="1">
        <v>-114.32109</v>
      </c>
      <c r="AR53" s="1">
        <v>44.84</v>
      </c>
      <c r="AS53" s="10">
        <f>AVERAGE($C$2:$C$501)</f>
        <v>206948.5429</v>
      </c>
      <c r="AT53" s="1">
        <v>-11.7</v>
      </c>
      <c r="AU53" s="10">
        <f>IFERROR(($AS24-C24)/$AS24,0)</f>
        <v>-0.09556702777</v>
      </c>
      <c r="AV53" s="10">
        <f>$AS24-C24</f>
        <v>-19777.45714</v>
      </c>
      <c r="AW53" s="1">
        <v>28620.0</v>
      </c>
      <c r="AX53" s="1">
        <v>5.1520493E7</v>
      </c>
      <c r="AZ53" s="9" t="s">
        <v>379</v>
      </c>
      <c r="BA53" s="1" t="s">
        <v>380</v>
      </c>
      <c r="BE53" s="1" t="s">
        <v>330</v>
      </c>
    </row>
    <row r="54">
      <c r="A54" s="1">
        <v>8.7597865E7</v>
      </c>
      <c r="C54" s="1">
        <v>129415.0</v>
      </c>
      <c r="D54" s="1">
        <v>143716.0</v>
      </c>
      <c r="E54" s="1">
        <v>892.52</v>
      </c>
      <c r="F54" s="1">
        <v>42.77</v>
      </c>
      <c r="G54" s="1">
        <v>339.0</v>
      </c>
      <c r="H54" s="1">
        <v>7.0</v>
      </c>
      <c r="I54" s="1">
        <v>3.0</v>
      </c>
      <c r="J54" s="1">
        <v>16.0</v>
      </c>
      <c r="K54" s="1" t="b">
        <v>1</v>
      </c>
      <c r="L54" s="1" t="b">
        <v>0</v>
      </c>
      <c r="M54" s="1" t="b">
        <v>1</v>
      </c>
      <c r="N54" s="1" t="b">
        <v>1</v>
      </c>
      <c r="O54" s="1" t="b">
        <v>1</v>
      </c>
      <c r="P54" s="1" t="b">
        <v>0</v>
      </c>
      <c r="Q54" s="1" t="b">
        <v>0</v>
      </c>
      <c r="R54" s="1" t="s">
        <v>63</v>
      </c>
      <c r="S54" s="1" t="s">
        <v>64</v>
      </c>
      <c r="T54" s="1" t="s">
        <v>65</v>
      </c>
      <c r="U54" s="1">
        <v>4.95</v>
      </c>
      <c r="V54" s="1">
        <v>54.0</v>
      </c>
      <c r="W54" s="1">
        <v>2.0</v>
      </c>
      <c r="X54" s="1">
        <v>1.0</v>
      </c>
      <c r="Y54" s="1" t="s">
        <v>66</v>
      </c>
      <c r="Z54" s="1" t="b">
        <v>0</v>
      </c>
      <c r="AA54" s="1">
        <v>450.0</v>
      </c>
      <c r="AB54" s="1" t="b">
        <v>0</v>
      </c>
      <c r="AC54" s="1">
        <v>145.0</v>
      </c>
      <c r="AD54" s="1">
        <v>45.0</v>
      </c>
      <c r="AE54" s="8">
        <v>46153.0</v>
      </c>
      <c r="AF54" s="1" t="s">
        <v>166</v>
      </c>
      <c r="AG54" s="1" t="s">
        <v>166</v>
      </c>
      <c r="AH54" s="1" t="s">
        <v>166</v>
      </c>
      <c r="AI54" s="1" t="s">
        <v>70</v>
      </c>
      <c r="AJ54" s="1">
        <v>86004.0</v>
      </c>
      <c r="AK54" s="1" t="s">
        <v>71</v>
      </c>
      <c r="AL54" s="1" t="s">
        <v>167</v>
      </c>
      <c r="AM54" s="9" t="s">
        <v>381</v>
      </c>
      <c r="AN54" s="1">
        <v>5.193036E7</v>
      </c>
      <c r="AP54" s="1">
        <v>35.22954</v>
      </c>
      <c r="AQ54" s="1">
        <v>-111.46589</v>
      </c>
      <c r="AR54" s="1">
        <v>40.01</v>
      </c>
      <c r="AS54" s="10">
        <f t="shared" ref="AS54:AS55" si="14">AVERAGE($C$2:$C$130)</f>
        <v>206948.5429</v>
      </c>
      <c r="AT54" s="1">
        <v>2.76</v>
      </c>
      <c r="AU54" s="10">
        <f>IFERROR(($AS44-C44)/$AS44,0)</f>
        <v>-0.07447482804</v>
      </c>
      <c r="AV54" s="10">
        <f>$AS44-C44</f>
        <v>-15412.45714</v>
      </c>
      <c r="AW54" s="1">
        <v>14301.0</v>
      </c>
      <c r="AX54" s="1">
        <v>5.193036E7</v>
      </c>
      <c r="AZ54" s="9" t="s">
        <v>382</v>
      </c>
      <c r="BA54" s="1" t="s">
        <v>383</v>
      </c>
      <c r="BE54" s="1" t="s">
        <v>330</v>
      </c>
    </row>
    <row r="55">
      <c r="A55" s="1">
        <v>5.9529414E7</v>
      </c>
      <c r="C55" s="1">
        <v>183905.0</v>
      </c>
      <c r="D55" s="1">
        <v>221987.0</v>
      </c>
      <c r="E55" s="1">
        <v>1342.37</v>
      </c>
      <c r="F55" s="1">
        <v>43.77</v>
      </c>
      <c r="G55" s="1">
        <v>313.0</v>
      </c>
      <c r="H55" s="1">
        <v>9.0</v>
      </c>
      <c r="I55" s="1">
        <v>8.0</v>
      </c>
      <c r="J55" s="1">
        <v>16.0</v>
      </c>
      <c r="K55" s="1" t="b">
        <v>1</v>
      </c>
      <c r="L55" s="1" t="b">
        <v>0</v>
      </c>
      <c r="M55" s="1" t="b">
        <v>0</v>
      </c>
      <c r="N55" s="1" t="b">
        <v>1</v>
      </c>
      <c r="O55" s="1" t="b">
        <v>1</v>
      </c>
      <c r="P55" s="1" t="b">
        <v>0</v>
      </c>
      <c r="Q55" s="1" t="b">
        <v>0</v>
      </c>
      <c r="R55" s="1" t="s">
        <v>63</v>
      </c>
      <c r="S55" s="1" t="s">
        <v>83</v>
      </c>
      <c r="T55" s="1" t="s">
        <v>65</v>
      </c>
      <c r="U55" s="1">
        <v>4.9</v>
      </c>
      <c r="V55" s="1">
        <v>115.0</v>
      </c>
      <c r="W55" s="1">
        <v>3.0</v>
      </c>
      <c r="X55" s="7">
        <v>46193.0</v>
      </c>
      <c r="Y55" s="1" t="s">
        <v>66</v>
      </c>
      <c r="Z55" s="1" t="b">
        <v>1</v>
      </c>
      <c r="AA55" s="1">
        <v>699.0</v>
      </c>
      <c r="AB55" s="1" t="b">
        <v>1</v>
      </c>
      <c r="AC55" s="1">
        <v>137.0</v>
      </c>
      <c r="AD55" s="1">
        <v>40.0</v>
      </c>
      <c r="AE55" s="8">
        <v>46153.0</v>
      </c>
      <c r="AF55" s="1" t="s">
        <v>166</v>
      </c>
      <c r="AG55" s="1" t="s">
        <v>166</v>
      </c>
      <c r="AH55" s="1" t="s">
        <v>166</v>
      </c>
      <c r="AI55" s="1" t="s">
        <v>70</v>
      </c>
      <c r="AJ55" s="1">
        <v>86004.0</v>
      </c>
      <c r="AK55" s="1" t="s">
        <v>71</v>
      </c>
      <c r="AL55" s="1" t="s">
        <v>167</v>
      </c>
      <c r="AM55" s="9" t="s">
        <v>384</v>
      </c>
      <c r="AN55" s="1">
        <v>5.3295598E7</v>
      </c>
      <c r="AO55" s="1">
        <v>2477536.0</v>
      </c>
      <c r="AP55" s="1">
        <v>35.19628</v>
      </c>
      <c r="AQ55" s="1">
        <v>-111.59558</v>
      </c>
      <c r="AR55" s="1">
        <v>40.01</v>
      </c>
      <c r="AS55" s="10">
        <f t="shared" si="14"/>
        <v>206948.5429</v>
      </c>
      <c r="AT55" s="1">
        <v>3.76</v>
      </c>
      <c r="AU55" s="10">
        <f>IFERROR(($AS28-C28)/$AS28,0)</f>
        <v>0.1966167159</v>
      </c>
      <c r="AV55" s="10">
        <f>$AS28-C28</f>
        <v>40689.54286</v>
      </c>
      <c r="AW55" s="1">
        <v>38082.0</v>
      </c>
      <c r="AX55" s="1">
        <v>5.3295598E7</v>
      </c>
      <c r="AZ55" s="9" t="s">
        <v>385</v>
      </c>
      <c r="BA55" s="1" t="s">
        <v>386</v>
      </c>
      <c r="BE55" s="1" t="s">
        <v>330</v>
      </c>
    </row>
    <row r="56">
      <c r="A56" s="1">
        <v>9.1015483E7</v>
      </c>
      <c r="C56" s="1">
        <v>247880.0</v>
      </c>
      <c r="D56" s="1">
        <v>259490.0</v>
      </c>
      <c r="E56" s="1">
        <v>1424.6</v>
      </c>
      <c r="F56" s="1">
        <v>51.03</v>
      </c>
      <c r="G56" s="1">
        <v>342.0</v>
      </c>
      <c r="H56" s="1">
        <v>6.0</v>
      </c>
      <c r="I56" s="1">
        <v>5.0</v>
      </c>
      <c r="J56" s="1">
        <v>14.0</v>
      </c>
      <c r="K56" s="1" t="b">
        <v>1</v>
      </c>
      <c r="L56" s="1" t="b">
        <v>1</v>
      </c>
      <c r="M56" s="1" t="b">
        <v>1</v>
      </c>
      <c r="N56" s="1" t="b">
        <v>1</v>
      </c>
      <c r="O56" s="1" t="b">
        <v>1</v>
      </c>
      <c r="P56" s="1" t="b">
        <v>0</v>
      </c>
      <c r="Q56" s="1" t="b">
        <v>1</v>
      </c>
      <c r="R56" s="1" t="s">
        <v>63</v>
      </c>
      <c r="S56" s="1" t="s">
        <v>64</v>
      </c>
      <c r="T56" s="1" t="s">
        <v>65</v>
      </c>
      <c r="U56" s="1">
        <v>5.0</v>
      </c>
      <c r="V56" s="1">
        <v>131.0</v>
      </c>
      <c r="W56" s="1">
        <v>3.0</v>
      </c>
      <c r="X56" s="7">
        <v>46058.0</v>
      </c>
      <c r="Y56" s="1" t="s">
        <v>66</v>
      </c>
      <c r="Z56" s="1" t="b">
        <v>1</v>
      </c>
      <c r="AA56" s="1">
        <v>375.0</v>
      </c>
      <c r="AB56" s="1" t="b">
        <v>1</v>
      </c>
      <c r="AC56" s="1">
        <v>174.0</v>
      </c>
      <c r="AD56" s="1">
        <v>46.0</v>
      </c>
      <c r="AE56" s="8">
        <v>46153.0</v>
      </c>
      <c r="AF56" s="1" t="s">
        <v>67</v>
      </c>
      <c r="AG56" s="1" t="s">
        <v>68</v>
      </c>
      <c r="AH56" s="1" t="s">
        <v>69</v>
      </c>
      <c r="AI56" s="1" t="s">
        <v>70</v>
      </c>
      <c r="AJ56" s="1">
        <v>85259.0</v>
      </c>
      <c r="AK56" s="1" t="s">
        <v>71</v>
      </c>
      <c r="AL56" s="1" t="s">
        <v>72</v>
      </c>
      <c r="AM56" s="9" t="s">
        <v>387</v>
      </c>
      <c r="AN56" s="1">
        <v>5.340371E7</v>
      </c>
      <c r="AO56" s="1">
        <v>2573836.0</v>
      </c>
      <c r="AP56" s="1">
        <v>33.58906</v>
      </c>
      <c r="AQ56" s="1">
        <v>-111.85214</v>
      </c>
      <c r="AR56" s="1">
        <v>47.11</v>
      </c>
      <c r="AS56" s="10">
        <f>AVERAGE($C$2:$C$596)</f>
        <v>206948.5429</v>
      </c>
      <c r="AT56" s="1">
        <v>3.92</v>
      </c>
      <c r="AU56" s="10">
        <f>IFERROR(($AS94-C94)/$AS94,0)</f>
        <v>-0.3412174648</v>
      </c>
      <c r="AV56" s="10">
        <f>$AS94-C94</f>
        <v>-70614.45714</v>
      </c>
      <c r="AW56" s="1">
        <v>11610.0</v>
      </c>
      <c r="AX56" s="1">
        <v>5.340371E7</v>
      </c>
      <c r="AZ56" s="9" t="s">
        <v>388</v>
      </c>
      <c r="BA56" s="1" t="s">
        <v>389</v>
      </c>
      <c r="BE56" s="1" t="s">
        <v>330</v>
      </c>
    </row>
    <row r="57">
      <c r="A57" s="1">
        <v>3.68718189E8</v>
      </c>
      <c r="C57" s="1">
        <v>127903.0</v>
      </c>
      <c r="D57" s="1">
        <v>206159.0</v>
      </c>
      <c r="E57" s="1">
        <v>1141.99</v>
      </c>
      <c r="F57" s="1">
        <v>43.08</v>
      </c>
      <c r="G57" s="1">
        <v>260.0</v>
      </c>
      <c r="H57" s="1">
        <v>6.0</v>
      </c>
      <c r="I57" s="1">
        <v>5.0</v>
      </c>
      <c r="J57" s="1">
        <v>16.0</v>
      </c>
      <c r="K57" s="1" t="b">
        <v>1</v>
      </c>
      <c r="L57" s="1" t="b">
        <v>0</v>
      </c>
      <c r="M57" s="1" t="b">
        <v>1</v>
      </c>
      <c r="N57" s="1" t="b">
        <v>1</v>
      </c>
      <c r="O57" s="1" t="b">
        <v>1</v>
      </c>
      <c r="P57" s="1" t="b">
        <v>0</v>
      </c>
      <c r="Q57" s="1" t="b">
        <v>0</v>
      </c>
      <c r="R57" s="1" t="s">
        <v>63</v>
      </c>
      <c r="S57" s="1" t="s">
        <v>119</v>
      </c>
      <c r="T57" s="1" t="s">
        <v>65</v>
      </c>
      <c r="U57" s="1">
        <v>4.85</v>
      </c>
      <c r="V57" s="1">
        <v>96.0</v>
      </c>
      <c r="W57" s="1">
        <v>2.0</v>
      </c>
      <c r="X57" s="7">
        <v>46193.0</v>
      </c>
      <c r="Y57" s="1" t="s">
        <v>66</v>
      </c>
      <c r="Z57" s="1" t="b">
        <v>1</v>
      </c>
      <c r="AA57" s="1">
        <v>449.0</v>
      </c>
      <c r="AB57" s="1" t="b">
        <v>0</v>
      </c>
      <c r="AC57" s="1">
        <v>112.0</v>
      </c>
      <c r="AD57" s="1">
        <v>41.0</v>
      </c>
      <c r="AE57" s="8">
        <v>46153.0</v>
      </c>
      <c r="AF57" s="1" t="s">
        <v>166</v>
      </c>
      <c r="AG57" s="1" t="s">
        <v>166</v>
      </c>
      <c r="AH57" s="1" t="s">
        <v>166</v>
      </c>
      <c r="AI57" s="1" t="s">
        <v>70</v>
      </c>
      <c r="AJ57" s="1">
        <v>86001.0</v>
      </c>
      <c r="AK57" s="1" t="s">
        <v>71</v>
      </c>
      <c r="AL57" s="1" t="s">
        <v>167</v>
      </c>
      <c r="AM57" s="9" t="s">
        <v>390</v>
      </c>
      <c r="AN57" s="1">
        <v>5.3783795E7</v>
      </c>
      <c r="AO57" s="1">
        <v>2586756.0</v>
      </c>
      <c r="AP57" s="1">
        <v>35.24141</v>
      </c>
      <c r="AQ57" s="1">
        <v>-111.63551</v>
      </c>
      <c r="AR57" s="1">
        <v>43.98</v>
      </c>
      <c r="AS57" s="10">
        <f>AVERAGE($C$2:$C$130)</f>
        <v>206948.5429</v>
      </c>
      <c r="AT57" s="1">
        <v>-0.9</v>
      </c>
      <c r="AU57" s="10">
        <f>IFERROR(($AS44-C44)/$AS44,0)</f>
        <v>-0.07447482804</v>
      </c>
      <c r="AV57" s="10">
        <f>$AS44-C44</f>
        <v>-15412.45714</v>
      </c>
      <c r="AW57" s="1">
        <v>78256.0</v>
      </c>
      <c r="AX57" s="1">
        <v>5.3783795E7</v>
      </c>
      <c r="AZ57" s="9" t="s">
        <v>391</v>
      </c>
      <c r="BA57" s="1" t="s">
        <v>392</v>
      </c>
      <c r="BE57" s="1" t="s">
        <v>330</v>
      </c>
    </row>
    <row r="58">
      <c r="A58" s="1">
        <v>3.085888E7</v>
      </c>
      <c r="C58" s="1">
        <v>234896.0</v>
      </c>
      <c r="D58" s="1">
        <v>271263.0</v>
      </c>
      <c r="E58" s="1">
        <v>1468.1</v>
      </c>
      <c r="F58" s="1">
        <v>52.81</v>
      </c>
      <c r="G58" s="1">
        <v>303.0</v>
      </c>
      <c r="H58" s="1">
        <v>6.0</v>
      </c>
      <c r="I58" s="1">
        <v>5.0</v>
      </c>
      <c r="J58" s="1">
        <v>16.0</v>
      </c>
      <c r="K58" s="1" t="b">
        <v>1</v>
      </c>
      <c r="L58" s="1" t="b">
        <v>0</v>
      </c>
      <c r="M58" s="1" t="b">
        <v>1</v>
      </c>
      <c r="N58" s="1" t="b">
        <v>1</v>
      </c>
      <c r="O58" s="1" t="b">
        <v>1</v>
      </c>
      <c r="P58" s="1" t="b">
        <v>1</v>
      </c>
      <c r="Q58" s="1" t="b">
        <v>1</v>
      </c>
      <c r="R58" s="1" t="s">
        <v>63</v>
      </c>
      <c r="S58" s="1" t="s">
        <v>64</v>
      </c>
      <c r="T58" s="1" t="s">
        <v>65</v>
      </c>
      <c r="U58" s="1">
        <v>4.95</v>
      </c>
      <c r="V58" s="1">
        <v>131.0</v>
      </c>
      <c r="W58" s="1">
        <v>3.0</v>
      </c>
      <c r="X58" s="7">
        <v>46058.0</v>
      </c>
      <c r="Y58" s="1" t="s">
        <v>66</v>
      </c>
      <c r="Z58" s="1" t="b">
        <v>1</v>
      </c>
      <c r="AA58" s="1">
        <v>689.0</v>
      </c>
      <c r="AB58" s="1" t="b">
        <v>1</v>
      </c>
      <c r="AC58" s="1">
        <v>160.0</v>
      </c>
      <c r="AD58" s="1">
        <v>46.0</v>
      </c>
      <c r="AE58" s="8">
        <v>46153.0</v>
      </c>
      <c r="AF58" s="1" t="s">
        <v>67</v>
      </c>
      <c r="AG58" s="1" t="s">
        <v>102</v>
      </c>
      <c r="AH58" s="1" t="s">
        <v>69</v>
      </c>
      <c r="AI58" s="1" t="s">
        <v>70</v>
      </c>
      <c r="AJ58" s="1">
        <v>85266.0</v>
      </c>
      <c r="AK58" s="1" t="s">
        <v>71</v>
      </c>
      <c r="AL58" s="1" t="s">
        <v>72</v>
      </c>
      <c r="AM58" s="9" t="s">
        <v>393</v>
      </c>
      <c r="AN58" s="1">
        <v>5.4340304E7</v>
      </c>
      <c r="AO58" s="1">
        <v>2678009.0</v>
      </c>
      <c r="AP58" s="1">
        <v>33.74</v>
      </c>
      <c r="AQ58" s="1">
        <v>-111.9135</v>
      </c>
      <c r="AR58" s="1">
        <v>40.75</v>
      </c>
      <c r="AS58" s="10">
        <f t="shared" ref="AS58:AS59" si="15">AVERAGE($C$2:$C$329)</f>
        <v>206948.5429</v>
      </c>
      <c r="AT58" s="1">
        <v>12.06</v>
      </c>
      <c r="AU58" s="10">
        <f>IFERROR(($AS31-C31)/$AS31,0)</f>
        <v>-0.05417509584</v>
      </c>
      <c r="AV58" s="10">
        <f>$AS31-C31</f>
        <v>-11211.45714</v>
      </c>
      <c r="AW58" s="1">
        <v>36367.0</v>
      </c>
      <c r="AX58" s="1">
        <v>5.4340304E7</v>
      </c>
      <c r="AZ58" s="9" t="s">
        <v>394</v>
      </c>
      <c r="BA58" s="1" t="s">
        <v>395</v>
      </c>
      <c r="BE58" s="1" t="s">
        <v>330</v>
      </c>
    </row>
    <row r="59">
      <c r="A59" s="1">
        <v>3.83155612E8</v>
      </c>
      <c r="C59" s="1">
        <v>123806.0</v>
      </c>
      <c r="D59" s="1">
        <v>141097.0</v>
      </c>
      <c r="E59" s="1">
        <v>1629.03</v>
      </c>
      <c r="F59" s="1">
        <v>28.68</v>
      </c>
      <c r="G59" s="1">
        <v>308.0</v>
      </c>
      <c r="H59" s="1">
        <v>6.0</v>
      </c>
      <c r="I59" s="1">
        <v>4.0</v>
      </c>
      <c r="J59" s="1">
        <v>16.0</v>
      </c>
      <c r="K59" s="1" t="b">
        <v>1</v>
      </c>
      <c r="L59" s="1" t="b">
        <v>0</v>
      </c>
      <c r="M59" s="1" t="b">
        <v>1</v>
      </c>
      <c r="N59" s="1" t="b">
        <v>1</v>
      </c>
      <c r="O59" s="1" t="b">
        <v>1</v>
      </c>
      <c r="P59" s="1" t="b">
        <v>0</v>
      </c>
      <c r="Q59" s="1" t="b">
        <v>1</v>
      </c>
      <c r="R59" s="1" t="s">
        <v>63</v>
      </c>
      <c r="S59" s="1" t="s">
        <v>396</v>
      </c>
      <c r="T59" s="1" t="s">
        <v>65</v>
      </c>
      <c r="U59" s="1">
        <v>5.0</v>
      </c>
      <c r="V59" s="1">
        <v>80.0</v>
      </c>
      <c r="W59" s="1">
        <v>4.0</v>
      </c>
      <c r="X59" s="7">
        <v>46193.0</v>
      </c>
      <c r="Y59" s="1" t="s">
        <v>66</v>
      </c>
      <c r="Z59" s="1" t="b">
        <v>1</v>
      </c>
      <c r="AA59" s="1">
        <v>595.0</v>
      </c>
      <c r="AB59" s="1" t="b">
        <v>0</v>
      </c>
      <c r="AC59" s="1">
        <v>76.0</v>
      </c>
      <c r="AD59" s="1">
        <v>17.0</v>
      </c>
      <c r="AE59" s="8">
        <v>46155.0</v>
      </c>
      <c r="AF59" s="1" t="s">
        <v>67</v>
      </c>
      <c r="AG59" s="1" t="s">
        <v>102</v>
      </c>
      <c r="AH59" s="1" t="s">
        <v>397</v>
      </c>
      <c r="AI59" s="1" t="s">
        <v>70</v>
      </c>
      <c r="AJ59" s="1">
        <v>85377.0</v>
      </c>
      <c r="AK59" s="1" t="s">
        <v>71</v>
      </c>
      <c r="AL59" s="1" t="s">
        <v>72</v>
      </c>
      <c r="AM59" s="9" t="s">
        <v>398</v>
      </c>
      <c r="AN59" s="1">
        <v>5.4408793E7</v>
      </c>
      <c r="AO59" s="1">
        <v>2644568.0</v>
      </c>
      <c r="AP59" s="1">
        <v>33.81133</v>
      </c>
      <c r="AQ59" s="1">
        <v>-111.93</v>
      </c>
      <c r="AR59" s="1">
        <v>40.75</v>
      </c>
      <c r="AS59" s="10">
        <f t="shared" si="15"/>
        <v>206948.5429</v>
      </c>
      <c r="AT59" s="1">
        <v>-12.07</v>
      </c>
      <c r="AU59" s="10">
        <f>IFERROR(($AS45-C45)/$AS45,0)</f>
        <v>0.2571196787</v>
      </c>
      <c r="AV59" s="10">
        <f>$AS45-C45</f>
        <v>53210.54286</v>
      </c>
      <c r="AW59" s="1">
        <v>17291.0</v>
      </c>
      <c r="AX59" s="1">
        <v>5.4408793E7</v>
      </c>
      <c r="AZ59" s="9" t="s">
        <v>399</v>
      </c>
      <c r="BA59" s="1" t="s">
        <v>400</v>
      </c>
      <c r="BE59" s="1" t="s">
        <v>330</v>
      </c>
    </row>
    <row r="60">
      <c r="A60" s="1">
        <v>1.58774122E8</v>
      </c>
      <c r="C60" s="1">
        <v>201459.0</v>
      </c>
      <c r="D60" s="1">
        <v>240886.0</v>
      </c>
      <c r="E60" s="1">
        <v>932.68</v>
      </c>
      <c r="F60" s="1">
        <v>70.13</v>
      </c>
      <c r="G60" s="1">
        <v>308.0</v>
      </c>
      <c r="H60" s="1">
        <v>5.0</v>
      </c>
      <c r="I60" s="1">
        <v>4.0</v>
      </c>
      <c r="J60" s="1">
        <v>16.0</v>
      </c>
      <c r="K60" s="1" t="b">
        <v>1</v>
      </c>
      <c r="L60" s="1" t="b">
        <v>0</v>
      </c>
      <c r="M60" s="1" t="b">
        <v>1</v>
      </c>
      <c r="N60" s="1" t="b">
        <v>1</v>
      </c>
      <c r="O60" s="1" t="b">
        <v>1</v>
      </c>
      <c r="P60" s="1" t="b">
        <v>1</v>
      </c>
      <c r="Q60" s="1" t="b">
        <v>1</v>
      </c>
      <c r="R60" s="1" t="s">
        <v>63</v>
      </c>
      <c r="S60" s="1" t="s">
        <v>64</v>
      </c>
      <c r="T60" s="1" t="s">
        <v>65</v>
      </c>
      <c r="U60" s="1">
        <v>5.0</v>
      </c>
      <c r="V60" s="1">
        <v>157.0</v>
      </c>
      <c r="W60" s="1">
        <v>2.0</v>
      </c>
      <c r="X60" s="7">
        <v>46193.0</v>
      </c>
      <c r="Y60" s="1" t="s">
        <v>66</v>
      </c>
      <c r="Z60" s="1" t="b">
        <v>1</v>
      </c>
      <c r="AA60" s="1">
        <v>549.0</v>
      </c>
      <c r="AB60" s="1" t="b">
        <v>1</v>
      </c>
      <c r="AC60" s="1">
        <v>216.0</v>
      </c>
      <c r="AD60" s="1">
        <v>65.0</v>
      </c>
      <c r="AE60" s="8">
        <v>46159.0</v>
      </c>
      <c r="AF60" s="1" t="s">
        <v>376</v>
      </c>
      <c r="AG60" s="1" t="s">
        <v>377</v>
      </c>
      <c r="AH60" s="1" t="s">
        <v>377</v>
      </c>
      <c r="AI60" s="1" t="s">
        <v>70</v>
      </c>
      <c r="AJ60" s="1">
        <v>86406.0</v>
      </c>
      <c r="AK60" s="1" t="s">
        <v>71</v>
      </c>
      <c r="AL60" s="1" t="s">
        <v>123</v>
      </c>
      <c r="AM60" s="9" t="s">
        <v>401</v>
      </c>
      <c r="AN60" s="1" t="s">
        <v>402</v>
      </c>
      <c r="AO60" s="1">
        <v>2731221.0</v>
      </c>
      <c r="AP60" s="1">
        <v>34.45519</v>
      </c>
      <c r="AQ60" s="1">
        <v>-114.31366</v>
      </c>
      <c r="AR60" s="1">
        <v>70.13</v>
      </c>
      <c r="AS60" s="10">
        <f>AVERAGE($C$2:$C$501)</f>
        <v>206948.5429</v>
      </c>
      <c r="AT60" s="1">
        <v>0.0</v>
      </c>
      <c r="AU60" s="10">
        <f>IFERROR(($AS17-C17)/$AS17,0)</f>
        <v>-0.3688668501</v>
      </c>
      <c r="AV60" s="10">
        <f>$AS17-C17</f>
        <v>-76336.45714</v>
      </c>
      <c r="AW60" s="1">
        <v>39427.0</v>
      </c>
      <c r="AX60" s="1" t="s">
        <v>402</v>
      </c>
      <c r="AZ60" s="9" t="s">
        <v>403</v>
      </c>
      <c r="BA60" s="1" t="s">
        <v>404</v>
      </c>
      <c r="BE60" s="1" t="s">
        <v>330</v>
      </c>
    </row>
    <row r="61">
      <c r="A61" s="1">
        <v>4.93044572E8</v>
      </c>
      <c r="C61" s="1">
        <v>109803.0</v>
      </c>
      <c r="D61" s="1">
        <v>114673.0</v>
      </c>
      <c r="E61" s="1">
        <v>1339.06</v>
      </c>
      <c r="F61" s="1">
        <v>30.48</v>
      </c>
      <c r="G61" s="1">
        <v>348.0</v>
      </c>
      <c r="H61" s="1">
        <v>7.0</v>
      </c>
      <c r="I61" s="1">
        <v>6.0</v>
      </c>
      <c r="J61" s="1">
        <v>16.0</v>
      </c>
      <c r="K61" s="1" t="b">
        <v>1</v>
      </c>
      <c r="L61" s="1" t="b">
        <v>1</v>
      </c>
      <c r="M61" s="1" t="b">
        <v>1</v>
      </c>
      <c r="N61" s="1" t="b">
        <v>1</v>
      </c>
      <c r="O61" s="1" t="b">
        <v>1</v>
      </c>
      <c r="P61" s="1" t="b">
        <v>1</v>
      </c>
      <c r="Q61" s="1" t="b">
        <v>1</v>
      </c>
      <c r="R61" s="1" t="s">
        <v>63</v>
      </c>
      <c r="S61" s="1" t="s">
        <v>83</v>
      </c>
      <c r="T61" s="1" t="s">
        <v>65</v>
      </c>
      <c r="U61" s="1">
        <v>5.0</v>
      </c>
      <c r="V61" s="1">
        <v>62.0</v>
      </c>
      <c r="W61" s="1">
        <v>2.0</v>
      </c>
      <c r="X61" s="7">
        <v>46058.0</v>
      </c>
      <c r="Y61" s="1" t="s">
        <v>66</v>
      </c>
      <c r="Z61" s="1" t="b">
        <v>0</v>
      </c>
      <c r="AA61" s="1">
        <v>650.0</v>
      </c>
      <c r="AB61" s="1" t="b">
        <v>0</v>
      </c>
      <c r="AC61" s="1">
        <v>82.0</v>
      </c>
      <c r="AD61" s="1">
        <v>25.0</v>
      </c>
      <c r="AE61" s="8">
        <v>46155.0</v>
      </c>
      <c r="AF61" s="1" t="s">
        <v>67</v>
      </c>
      <c r="AG61" s="1" t="s">
        <v>68</v>
      </c>
      <c r="AH61" s="1" t="s">
        <v>69</v>
      </c>
      <c r="AI61" s="1" t="s">
        <v>70</v>
      </c>
      <c r="AJ61" s="1">
        <v>85260.0</v>
      </c>
      <c r="AK61" s="1" t="s">
        <v>71</v>
      </c>
      <c r="AL61" s="1" t="s">
        <v>72</v>
      </c>
      <c r="AM61" s="9" t="s">
        <v>405</v>
      </c>
      <c r="AN61" s="1" t="s">
        <v>406</v>
      </c>
      <c r="AO61" s="1">
        <v>3924604.0</v>
      </c>
      <c r="AP61" s="1">
        <v>33.58521</v>
      </c>
      <c r="AQ61" s="1">
        <v>-111.90772</v>
      </c>
      <c r="AR61" s="1">
        <v>53.1</v>
      </c>
      <c r="AS61" s="10">
        <f t="shared" ref="AS61:AS62" si="16">AVERAGE($C$2:$C$596)</f>
        <v>206948.5429</v>
      </c>
      <c r="AT61" s="1">
        <v>-22.62</v>
      </c>
      <c r="AU61" s="10">
        <f>IFERROR(($AS244-C244)/$AS244,0)</f>
        <v>0</v>
      </c>
      <c r="AV61" s="10">
        <f>$AS244-C244</f>
        <v>0</v>
      </c>
      <c r="AW61" s="1">
        <v>4870.0</v>
      </c>
      <c r="AX61" s="1" t="s">
        <v>406</v>
      </c>
      <c r="AZ61" s="9" t="s">
        <v>407</v>
      </c>
      <c r="BA61" s="1" t="s">
        <v>408</v>
      </c>
      <c r="BE61" s="1" t="s">
        <v>330</v>
      </c>
    </row>
    <row r="62">
      <c r="A62" s="1">
        <v>4.49859814E8</v>
      </c>
      <c r="C62" s="1">
        <v>199042.0</v>
      </c>
      <c r="D62" s="1">
        <v>205183.0</v>
      </c>
      <c r="E62" s="1">
        <v>1335.85</v>
      </c>
      <c r="F62" s="1">
        <v>42.45</v>
      </c>
      <c r="G62" s="1">
        <v>351.0</v>
      </c>
      <c r="H62" s="1">
        <v>5.0</v>
      </c>
      <c r="I62" s="1">
        <v>5.0</v>
      </c>
      <c r="J62" s="1">
        <v>16.0</v>
      </c>
      <c r="K62" s="1" t="b">
        <v>1</v>
      </c>
      <c r="L62" s="1" t="b">
        <v>0</v>
      </c>
      <c r="M62" s="1" t="b">
        <v>0</v>
      </c>
      <c r="N62" s="1" t="b">
        <v>1</v>
      </c>
      <c r="O62" s="1" t="b">
        <v>1</v>
      </c>
      <c r="P62" s="1" t="b">
        <v>1</v>
      </c>
      <c r="Q62" s="1" t="b">
        <v>1</v>
      </c>
      <c r="R62" s="1" t="s">
        <v>63</v>
      </c>
      <c r="S62" s="1" t="s">
        <v>83</v>
      </c>
      <c r="T62" s="1" t="s">
        <v>65</v>
      </c>
      <c r="U62" s="1">
        <v>4.95</v>
      </c>
      <c r="V62" s="1">
        <v>114.0</v>
      </c>
      <c r="W62" s="1">
        <v>3.0</v>
      </c>
      <c r="X62" s="7">
        <v>46193.0</v>
      </c>
      <c r="Y62" s="1" t="s">
        <v>66</v>
      </c>
      <c r="Z62" s="1" t="b">
        <v>1</v>
      </c>
      <c r="AA62" s="1">
        <v>395.0</v>
      </c>
      <c r="AB62" s="1" t="b">
        <v>0</v>
      </c>
      <c r="AC62" s="1">
        <v>149.0</v>
      </c>
      <c r="AD62" s="1">
        <v>48.0</v>
      </c>
      <c r="AE62" s="8">
        <v>46155.0</v>
      </c>
      <c r="AF62" s="1" t="s">
        <v>67</v>
      </c>
      <c r="AG62" s="1" t="s">
        <v>68</v>
      </c>
      <c r="AH62" s="1" t="s">
        <v>69</v>
      </c>
      <c r="AI62" s="1" t="s">
        <v>70</v>
      </c>
      <c r="AJ62" s="1">
        <v>85254.0</v>
      </c>
      <c r="AK62" s="1" t="s">
        <v>71</v>
      </c>
      <c r="AL62" s="1" t="s">
        <v>72</v>
      </c>
      <c r="AM62" s="9" t="s">
        <v>409</v>
      </c>
      <c r="AN62" s="1" t="s">
        <v>410</v>
      </c>
      <c r="AO62" s="1">
        <v>3086030.0</v>
      </c>
      <c r="AP62" s="1">
        <v>33.5839</v>
      </c>
      <c r="AQ62" s="1">
        <v>-111.94442</v>
      </c>
      <c r="AR62" s="1">
        <v>52.34</v>
      </c>
      <c r="AS62" s="10">
        <f t="shared" si="16"/>
        <v>206948.5429</v>
      </c>
      <c r="AT62" s="1">
        <v>-9.89</v>
      </c>
      <c r="AU62" s="10">
        <f>IFERROR(($AS125-C125)/$AS125,0)</f>
        <v>0</v>
      </c>
      <c r="AV62" s="10">
        <f>$AS125-C125</f>
        <v>0</v>
      </c>
      <c r="AW62" s="1">
        <v>6141.0</v>
      </c>
      <c r="AX62" s="1" t="s">
        <v>410</v>
      </c>
      <c r="AZ62" s="9" t="s">
        <v>411</v>
      </c>
      <c r="BA62" s="1" t="s">
        <v>412</v>
      </c>
      <c r="BE62" s="1" t="s">
        <v>330</v>
      </c>
    </row>
    <row r="63">
      <c r="A63" s="1">
        <v>4.72077633E8</v>
      </c>
      <c r="C63" s="1">
        <v>102361.0</v>
      </c>
      <c r="D63" s="1">
        <v>106669.0</v>
      </c>
      <c r="E63" s="1">
        <v>930.55</v>
      </c>
      <c r="F63" s="1">
        <v>31.25</v>
      </c>
      <c r="G63" s="1">
        <v>352.0</v>
      </c>
      <c r="H63" s="1">
        <v>7.0</v>
      </c>
      <c r="I63" s="1">
        <v>5.0</v>
      </c>
      <c r="J63" s="1">
        <v>14.0</v>
      </c>
      <c r="K63" s="1" t="b">
        <v>1</v>
      </c>
      <c r="L63" s="1" t="b">
        <v>0</v>
      </c>
      <c r="M63" s="1" t="b">
        <v>0</v>
      </c>
      <c r="N63" s="1" t="b">
        <v>1</v>
      </c>
      <c r="O63" s="1" t="b">
        <v>1</v>
      </c>
      <c r="P63" s="1" t="b">
        <v>0</v>
      </c>
      <c r="Q63" s="1" t="b">
        <v>0</v>
      </c>
      <c r="R63" s="1" t="s">
        <v>63</v>
      </c>
      <c r="S63" s="1" t="s">
        <v>83</v>
      </c>
      <c r="T63" s="1" t="s">
        <v>65</v>
      </c>
      <c r="U63" s="1">
        <v>4.9</v>
      </c>
      <c r="V63" s="1">
        <v>62.0</v>
      </c>
      <c r="W63" s="1">
        <v>3.0</v>
      </c>
      <c r="X63" s="1">
        <v>1.0</v>
      </c>
      <c r="Y63" s="1" t="s">
        <v>66</v>
      </c>
      <c r="Z63" s="1" t="b">
        <v>1</v>
      </c>
      <c r="AA63" s="1">
        <v>775.0</v>
      </c>
      <c r="AB63" s="1" t="b">
        <v>0</v>
      </c>
      <c r="AC63" s="1">
        <v>110.0</v>
      </c>
      <c r="AD63" s="1">
        <v>29.0</v>
      </c>
      <c r="AE63" s="8">
        <v>46153.0</v>
      </c>
      <c r="AF63" s="1" t="s">
        <v>166</v>
      </c>
      <c r="AG63" s="1" t="s">
        <v>166</v>
      </c>
      <c r="AH63" s="1" t="s">
        <v>166</v>
      </c>
      <c r="AI63" s="1" t="s">
        <v>70</v>
      </c>
      <c r="AJ63" s="1">
        <v>86001.0</v>
      </c>
      <c r="AK63" s="1" t="s">
        <v>71</v>
      </c>
      <c r="AL63" s="1" t="s">
        <v>167</v>
      </c>
      <c r="AM63" s="9" t="s">
        <v>413</v>
      </c>
      <c r="AN63" s="1" t="s">
        <v>414</v>
      </c>
      <c r="AO63" s="1">
        <v>3136026.0</v>
      </c>
      <c r="AP63" s="1">
        <v>35.1909</v>
      </c>
      <c r="AQ63" s="1">
        <v>-111.7152</v>
      </c>
      <c r="AR63" s="1">
        <v>40.01</v>
      </c>
      <c r="AS63" s="10">
        <f>AVERAGE($C$2:$C$130)</f>
        <v>206948.5429</v>
      </c>
      <c r="AT63" s="1">
        <v>-8.76</v>
      </c>
      <c r="AU63" s="10">
        <f>IFERROR(($AS64-C64)/$AS64,0)</f>
        <v>-0.1756738977</v>
      </c>
      <c r="AV63" s="10">
        <f>$AS64-C64</f>
        <v>-36355.45714</v>
      </c>
      <c r="AW63" s="1">
        <v>4308.0</v>
      </c>
      <c r="AX63" s="1" t="s">
        <v>414</v>
      </c>
      <c r="AZ63" s="9" t="s">
        <v>415</v>
      </c>
      <c r="BA63" s="1" t="s">
        <v>416</v>
      </c>
      <c r="BE63" s="1" t="s">
        <v>330</v>
      </c>
    </row>
    <row r="64">
      <c r="A64" s="1">
        <v>4.19199265E8</v>
      </c>
      <c r="C64" s="1">
        <v>243304.0</v>
      </c>
      <c r="D64" s="1">
        <v>273689.0</v>
      </c>
      <c r="E64" s="1">
        <v>1501.88</v>
      </c>
      <c r="F64" s="1">
        <v>49.09</v>
      </c>
      <c r="G64" s="1">
        <v>330.0</v>
      </c>
      <c r="H64" s="1">
        <v>8.0</v>
      </c>
      <c r="I64" s="1">
        <v>4.0</v>
      </c>
      <c r="J64" s="1">
        <v>12.0</v>
      </c>
      <c r="K64" s="1" t="b">
        <v>1</v>
      </c>
      <c r="L64" s="1" t="b">
        <v>0</v>
      </c>
      <c r="M64" s="1" t="b">
        <v>1</v>
      </c>
      <c r="N64" s="1" t="b">
        <v>1</v>
      </c>
      <c r="O64" s="1" t="b">
        <v>1</v>
      </c>
      <c r="P64" s="1" t="b">
        <v>1</v>
      </c>
      <c r="Q64" s="1" t="b">
        <v>1</v>
      </c>
      <c r="R64" s="1" t="s">
        <v>63</v>
      </c>
      <c r="S64" s="1" t="s">
        <v>64</v>
      </c>
      <c r="T64" s="1" t="s">
        <v>65</v>
      </c>
      <c r="U64" s="1">
        <v>4.95</v>
      </c>
      <c r="V64" s="1">
        <v>119.0</v>
      </c>
      <c r="W64" s="1">
        <v>2.0</v>
      </c>
      <c r="X64" s="7">
        <v>46058.0</v>
      </c>
      <c r="Y64" s="1" t="s">
        <v>66</v>
      </c>
      <c r="Z64" s="1" t="b">
        <v>1</v>
      </c>
      <c r="AA64" s="1">
        <v>600.0</v>
      </c>
      <c r="AB64" s="1" t="b">
        <v>0</v>
      </c>
      <c r="AC64" s="1">
        <v>162.0</v>
      </c>
      <c r="AD64" s="1">
        <v>45.0</v>
      </c>
      <c r="AE64" s="8">
        <v>46159.0</v>
      </c>
      <c r="AF64" s="1" t="s">
        <v>67</v>
      </c>
      <c r="AG64" s="1" t="s">
        <v>68</v>
      </c>
      <c r="AH64" s="1" t="s">
        <v>69</v>
      </c>
      <c r="AI64" s="1" t="s">
        <v>70</v>
      </c>
      <c r="AJ64" s="1">
        <v>85250.0</v>
      </c>
      <c r="AK64" s="1" t="s">
        <v>71</v>
      </c>
      <c r="AL64" s="1" t="s">
        <v>72</v>
      </c>
      <c r="AM64" s="9" t="s">
        <v>417</v>
      </c>
      <c r="AN64" s="1" t="s">
        <v>418</v>
      </c>
      <c r="AO64" s="1">
        <v>3024395.0</v>
      </c>
      <c r="AP64" s="1">
        <v>33.53684</v>
      </c>
      <c r="AQ64" s="1">
        <v>-111.90081</v>
      </c>
      <c r="AR64" s="1">
        <v>53.1</v>
      </c>
      <c r="AS64" s="10">
        <f>AVERAGE($C$2:$C$596)</f>
        <v>206948.5429</v>
      </c>
      <c r="AT64" s="1">
        <v>-4.01</v>
      </c>
      <c r="AU64" s="10">
        <f>IFERROR(($AS94-C94)/$AS94,0)</f>
        <v>-0.3412174648</v>
      </c>
      <c r="AV64" s="10">
        <f>$AS94-C94</f>
        <v>-70614.45714</v>
      </c>
      <c r="AW64" s="1">
        <v>30385.0</v>
      </c>
      <c r="AX64" s="1" t="s">
        <v>418</v>
      </c>
      <c r="AZ64" s="9" t="s">
        <v>419</v>
      </c>
      <c r="BA64" s="1" t="s">
        <v>420</v>
      </c>
      <c r="BE64" s="1" t="s">
        <v>330</v>
      </c>
    </row>
    <row r="65">
      <c r="A65" s="1">
        <v>3.41516015E8</v>
      </c>
      <c r="C65" s="1">
        <v>119758.0</v>
      </c>
      <c r="D65" s="1">
        <v>134232.0</v>
      </c>
      <c r="E65" s="1">
        <v>1069.27</v>
      </c>
      <c r="F65" s="1">
        <v>38.23</v>
      </c>
      <c r="G65" s="1">
        <v>329.0</v>
      </c>
      <c r="H65" s="1">
        <v>5.0</v>
      </c>
      <c r="I65" s="1">
        <v>3.0</v>
      </c>
      <c r="J65" s="1">
        <v>16.0</v>
      </c>
      <c r="K65" s="1" t="b">
        <v>1</v>
      </c>
      <c r="L65" s="1" t="b">
        <v>0</v>
      </c>
      <c r="M65" s="1" t="b">
        <v>1</v>
      </c>
      <c r="N65" s="1" t="b">
        <v>1</v>
      </c>
      <c r="O65" s="1" t="b">
        <v>1</v>
      </c>
      <c r="P65" s="1" t="b">
        <v>1</v>
      </c>
      <c r="Q65" s="1" t="b">
        <v>0</v>
      </c>
      <c r="R65" s="1" t="s">
        <v>63</v>
      </c>
      <c r="S65" s="1" t="s">
        <v>119</v>
      </c>
      <c r="T65" s="1" t="s">
        <v>65</v>
      </c>
      <c r="U65" s="1">
        <v>4.95</v>
      </c>
      <c r="V65" s="1">
        <v>78.0</v>
      </c>
      <c r="W65" s="1">
        <v>3.0</v>
      </c>
      <c r="X65" s="1">
        <v>1.0</v>
      </c>
      <c r="Y65" s="1" t="s">
        <v>66</v>
      </c>
      <c r="Z65" s="1" t="b">
        <v>1</v>
      </c>
      <c r="AA65" s="1">
        <v>597.0</v>
      </c>
      <c r="AB65" s="1" t="b">
        <v>0</v>
      </c>
      <c r="AC65" s="1">
        <v>112.0</v>
      </c>
      <c r="AD65" s="1">
        <v>22.0</v>
      </c>
      <c r="AE65" s="8">
        <v>46153.0</v>
      </c>
      <c r="AF65" s="1" t="s">
        <v>268</v>
      </c>
      <c r="AG65" s="1" t="s">
        <v>421</v>
      </c>
      <c r="AH65" s="1" t="s">
        <v>421</v>
      </c>
      <c r="AI65" s="1" t="s">
        <v>70</v>
      </c>
      <c r="AJ65" s="1">
        <v>86303.0</v>
      </c>
      <c r="AK65" s="1" t="s">
        <v>71</v>
      </c>
      <c r="AL65" s="1" t="s">
        <v>422</v>
      </c>
      <c r="AM65" s="9" t="s">
        <v>423</v>
      </c>
      <c r="AN65" s="1" t="s">
        <v>424</v>
      </c>
      <c r="AO65" s="1">
        <v>3051644.0</v>
      </c>
      <c r="AP65" s="1">
        <v>34.51264</v>
      </c>
      <c r="AQ65" s="1">
        <v>-112.48894</v>
      </c>
      <c r="AR65" s="1">
        <v>38.23</v>
      </c>
      <c r="AS65" s="10">
        <f>AVERAGE($C$2:$C$283)</f>
        <v>206948.5429</v>
      </c>
      <c r="AT65" s="1">
        <v>0.0</v>
      </c>
      <c r="AU65" s="10">
        <f>IFERROR(($AS15-C15)/$AS15,0)</f>
        <v>0.2036764419</v>
      </c>
      <c r="AV65" s="10">
        <f>$AS15-C15</f>
        <v>42150.54286</v>
      </c>
      <c r="AW65" s="1">
        <v>14474.0</v>
      </c>
      <c r="AX65" s="1" t="s">
        <v>424</v>
      </c>
      <c r="AZ65" s="9" t="s">
        <v>425</v>
      </c>
      <c r="BA65" s="1" t="s">
        <v>426</v>
      </c>
      <c r="BE65" s="1" t="s">
        <v>330</v>
      </c>
    </row>
    <row r="66">
      <c r="A66" s="1">
        <v>4.83024471E8</v>
      </c>
      <c r="C66" s="1">
        <v>246484.0</v>
      </c>
      <c r="D66" s="1">
        <v>255874.0</v>
      </c>
      <c r="E66" s="1">
        <v>1654.26</v>
      </c>
      <c r="F66" s="1">
        <v>45.15</v>
      </c>
      <c r="G66" s="1">
        <v>349.0</v>
      </c>
      <c r="H66" s="1">
        <v>6.0</v>
      </c>
      <c r="I66" s="1">
        <v>6.0</v>
      </c>
      <c r="J66" s="1">
        <v>15.0</v>
      </c>
      <c r="K66" s="1" t="b">
        <v>1</v>
      </c>
      <c r="L66" s="1" t="b">
        <v>0</v>
      </c>
      <c r="M66" s="1" t="b">
        <v>1</v>
      </c>
      <c r="N66" s="1" t="b">
        <v>1</v>
      </c>
      <c r="O66" s="1" t="b">
        <v>1</v>
      </c>
      <c r="P66" s="1" t="b">
        <v>0</v>
      </c>
      <c r="Q66" s="1" t="b">
        <v>1</v>
      </c>
      <c r="R66" s="1" t="s">
        <v>63</v>
      </c>
      <c r="S66" s="1" t="s">
        <v>64</v>
      </c>
      <c r="T66" s="1" t="s">
        <v>65</v>
      </c>
      <c r="U66" s="1">
        <v>5.0</v>
      </c>
      <c r="V66" s="1">
        <v>94.0</v>
      </c>
      <c r="W66" s="1">
        <v>3.0</v>
      </c>
      <c r="X66" s="1">
        <v>1.0</v>
      </c>
      <c r="Y66" s="1" t="s">
        <v>66</v>
      </c>
      <c r="Z66" s="1" t="b">
        <v>1</v>
      </c>
      <c r="AA66" s="1">
        <v>398.0</v>
      </c>
      <c r="AB66" s="1" t="b">
        <v>0</v>
      </c>
      <c r="AC66" s="1">
        <v>149.0</v>
      </c>
      <c r="AD66" s="1">
        <v>37.0</v>
      </c>
      <c r="AE66" s="8">
        <v>46153.0</v>
      </c>
      <c r="AF66" s="1" t="s">
        <v>67</v>
      </c>
      <c r="AG66" s="1" t="s">
        <v>68</v>
      </c>
      <c r="AH66" s="1" t="s">
        <v>69</v>
      </c>
      <c r="AI66" s="1" t="s">
        <v>70</v>
      </c>
      <c r="AJ66" s="1">
        <v>85260.0</v>
      </c>
      <c r="AK66" s="1" t="s">
        <v>71</v>
      </c>
      <c r="AL66" s="1" t="s">
        <v>72</v>
      </c>
      <c r="AM66" s="9" t="s">
        <v>427</v>
      </c>
      <c r="AN66" s="1" t="s">
        <v>428</v>
      </c>
      <c r="AO66" s="1">
        <v>3293980.0</v>
      </c>
      <c r="AP66" s="1">
        <v>33.59055</v>
      </c>
      <c r="AQ66" s="1">
        <v>-111.86414</v>
      </c>
      <c r="AR66" s="1">
        <v>47.11</v>
      </c>
      <c r="AS66" s="10">
        <f>AVERAGE($C$2:$C$596)</f>
        <v>206948.5429</v>
      </c>
      <c r="AT66" s="1">
        <v>-1.96</v>
      </c>
      <c r="AU66" s="10">
        <f>IFERROR(($AS93-C93)/$AS93,0)</f>
        <v>0.3822957232</v>
      </c>
      <c r="AV66" s="10">
        <f>$AS93-C93</f>
        <v>79115.54286</v>
      </c>
      <c r="AW66" s="1">
        <v>9390.0</v>
      </c>
      <c r="AX66" s="1" t="s">
        <v>428</v>
      </c>
      <c r="AZ66" s="9" t="s">
        <v>429</v>
      </c>
      <c r="BA66" s="1" t="s">
        <v>430</v>
      </c>
      <c r="BE66" s="1" t="s">
        <v>330</v>
      </c>
    </row>
    <row r="67">
      <c r="A67" s="1">
        <v>4.86912742E8</v>
      </c>
      <c r="C67" s="1">
        <v>306860.0</v>
      </c>
      <c r="D67" s="1">
        <v>342797.0</v>
      </c>
      <c r="E67" s="1">
        <v>1704.78</v>
      </c>
      <c r="F67" s="1">
        <v>57.32</v>
      </c>
      <c r="G67" s="1">
        <v>314.0</v>
      </c>
      <c r="H67" s="1">
        <v>5.0</v>
      </c>
      <c r="I67" s="1">
        <v>6.0</v>
      </c>
      <c r="J67" s="1">
        <v>16.0</v>
      </c>
      <c r="K67" s="1" t="b">
        <v>1</v>
      </c>
      <c r="L67" s="1" t="b">
        <v>0</v>
      </c>
      <c r="M67" s="1" t="b">
        <v>1</v>
      </c>
      <c r="N67" s="1" t="b">
        <v>1</v>
      </c>
      <c r="O67" s="1" t="b">
        <v>1</v>
      </c>
      <c r="P67" s="1" t="b">
        <v>1</v>
      </c>
      <c r="Q67" s="1" t="b">
        <v>1</v>
      </c>
      <c r="R67" s="1" t="s">
        <v>63</v>
      </c>
      <c r="S67" s="1" t="s">
        <v>64</v>
      </c>
      <c r="T67" s="1" t="s">
        <v>65</v>
      </c>
      <c r="U67" s="1">
        <v>5.0</v>
      </c>
      <c r="V67" s="1">
        <v>130.0</v>
      </c>
      <c r="W67" s="1">
        <v>3.0</v>
      </c>
      <c r="X67" s="7">
        <v>46058.0</v>
      </c>
      <c r="Y67" s="1" t="s">
        <v>66</v>
      </c>
      <c r="Z67" s="1" t="b">
        <v>1</v>
      </c>
      <c r="AA67" s="1">
        <v>475.0</v>
      </c>
      <c r="AB67" s="1" t="b">
        <v>0</v>
      </c>
      <c r="AC67" s="1">
        <v>180.0</v>
      </c>
      <c r="AD67" s="1">
        <v>43.0</v>
      </c>
      <c r="AE67" s="8">
        <v>46152.0</v>
      </c>
      <c r="AF67" s="1" t="s">
        <v>67</v>
      </c>
      <c r="AG67" s="1" t="s">
        <v>102</v>
      </c>
      <c r="AH67" s="1" t="s">
        <v>69</v>
      </c>
      <c r="AI67" s="1" t="s">
        <v>70</v>
      </c>
      <c r="AJ67" s="1">
        <v>85266.0</v>
      </c>
      <c r="AK67" s="1" t="s">
        <v>71</v>
      </c>
      <c r="AL67" s="1" t="s">
        <v>72</v>
      </c>
      <c r="AM67" s="9" t="s">
        <v>431</v>
      </c>
      <c r="AN67" s="1" t="s">
        <v>432</v>
      </c>
      <c r="AO67" s="1">
        <v>3101665.0</v>
      </c>
      <c r="AP67" s="1">
        <v>33.75213</v>
      </c>
      <c r="AQ67" s="1">
        <v>-111.91282</v>
      </c>
      <c r="AR67" s="1">
        <v>44.2</v>
      </c>
      <c r="AS67" s="10">
        <f>AVERAGE($C$2:$C$329)</f>
        <v>206948.5429</v>
      </c>
      <c r="AT67" s="1">
        <v>13.12</v>
      </c>
      <c r="AU67" s="10">
        <f>IFERROR(($AS23-C23)/$AS23,0)</f>
        <v>-0.6869120951</v>
      </c>
      <c r="AV67" s="10">
        <f>$AS23-C23</f>
        <v>-142155.4571</v>
      </c>
      <c r="AW67" s="1">
        <v>35937.0</v>
      </c>
      <c r="AX67" s="1" t="s">
        <v>432</v>
      </c>
      <c r="AZ67" s="9" t="s">
        <v>433</v>
      </c>
      <c r="BA67" s="1" t="s">
        <v>434</v>
      </c>
      <c r="BE67" s="1" t="s">
        <v>330</v>
      </c>
    </row>
    <row r="68">
      <c r="A68" s="1">
        <v>1.1268984E8</v>
      </c>
      <c r="C68" s="1">
        <v>142091.0</v>
      </c>
      <c r="D68" s="1">
        <v>200928.0</v>
      </c>
      <c r="E68" s="1">
        <v>1480.11</v>
      </c>
      <c r="F68" s="1">
        <v>39.51</v>
      </c>
      <c r="G68" s="1">
        <v>282.0</v>
      </c>
      <c r="H68" s="1">
        <v>6.0</v>
      </c>
      <c r="I68" s="1">
        <v>5.0</v>
      </c>
      <c r="J68" s="1">
        <v>16.0</v>
      </c>
      <c r="K68" s="1" t="b">
        <v>1</v>
      </c>
      <c r="L68" s="1" t="b">
        <v>0</v>
      </c>
      <c r="M68" s="1" t="b">
        <v>1</v>
      </c>
      <c r="N68" s="1" t="b">
        <v>1</v>
      </c>
      <c r="O68" s="1" t="b">
        <v>1</v>
      </c>
      <c r="P68" s="1" t="b">
        <v>0</v>
      </c>
      <c r="Q68" s="1" t="b">
        <v>1</v>
      </c>
      <c r="R68" s="1" t="s">
        <v>63</v>
      </c>
      <c r="S68" s="1" t="s">
        <v>64</v>
      </c>
      <c r="T68" s="1" t="s">
        <v>65</v>
      </c>
      <c r="U68" s="1">
        <v>5.0</v>
      </c>
      <c r="V68" s="1">
        <v>69.0</v>
      </c>
      <c r="W68" s="1">
        <v>3.0</v>
      </c>
      <c r="X68" s="7">
        <v>46058.0</v>
      </c>
      <c r="Y68" s="1" t="s">
        <v>66</v>
      </c>
      <c r="Z68" s="1" t="b">
        <v>0</v>
      </c>
      <c r="AA68" s="1">
        <v>650.0</v>
      </c>
      <c r="AB68" s="1" t="b">
        <v>0</v>
      </c>
      <c r="AC68" s="1">
        <v>96.0</v>
      </c>
      <c r="AD68" s="1">
        <v>17.0</v>
      </c>
      <c r="AE68" s="8">
        <v>46153.0</v>
      </c>
      <c r="AF68" s="1" t="s">
        <v>67</v>
      </c>
      <c r="AG68" s="1" t="s">
        <v>68</v>
      </c>
      <c r="AH68" s="1" t="s">
        <v>69</v>
      </c>
      <c r="AI68" s="1" t="s">
        <v>70</v>
      </c>
      <c r="AJ68" s="1">
        <v>85260.0</v>
      </c>
      <c r="AK68" s="1" t="s">
        <v>71</v>
      </c>
      <c r="AL68" s="1" t="s">
        <v>72</v>
      </c>
      <c r="AM68" s="9" t="s">
        <v>435</v>
      </c>
      <c r="AN68" s="1" t="s">
        <v>436</v>
      </c>
      <c r="AO68" s="1">
        <v>2707780.0</v>
      </c>
      <c r="AP68" s="1">
        <v>33.6048</v>
      </c>
      <c r="AQ68" s="1">
        <v>-111.9199</v>
      </c>
      <c r="AR68" s="1">
        <v>47.11</v>
      </c>
      <c r="AS68" s="10">
        <f>AVERAGE($C$2:$C$596)</f>
        <v>206948.5429</v>
      </c>
      <c r="AT68" s="1">
        <v>-7.6</v>
      </c>
      <c r="AU68" s="10">
        <f>IFERROR(($AS190-C190)/$AS190,0)</f>
        <v>0</v>
      </c>
      <c r="AV68" s="10">
        <f>$AS190-C190</f>
        <v>0</v>
      </c>
      <c r="AW68" s="1">
        <v>58837.0</v>
      </c>
      <c r="AX68" s="1" t="s">
        <v>436</v>
      </c>
      <c r="AZ68" s="9" t="s">
        <v>437</v>
      </c>
      <c r="BA68" s="1" t="s">
        <v>438</v>
      </c>
      <c r="BE68" s="1" t="s">
        <v>330</v>
      </c>
    </row>
    <row r="69">
      <c r="A69" s="1">
        <v>4334574.0</v>
      </c>
      <c r="C69" s="1">
        <v>169966.0</v>
      </c>
      <c r="D69" s="1">
        <v>218355.0</v>
      </c>
      <c r="E69" s="1">
        <v>1847.46</v>
      </c>
      <c r="F69" s="1">
        <v>36.8</v>
      </c>
      <c r="G69" s="1">
        <v>311.0</v>
      </c>
      <c r="H69" s="1">
        <v>7.0</v>
      </c>
      <c r="I69" s="1">
        <v>5.0</v>
      </c>
      <c r="J69" s="1">
        <v>14.0</v>
      </c>
      <c r="K69" s="1" t="b">
        <v>1</v>
      </c>
      <c r="L69" s="1" t="b">
        <v>0</v>
      </c>
      <c r="M69" s="1" t="b">
        <v>1</v>
      </c>
      <c r="N69" s="1" t="b">
        <v>1</v>
      </c>
      <c r="O69" s="1" t="b">
        <v>1</v>
      </c>
      <c r="P69" s="1" t="b">
        <v>1</v>
      </c>
      <c r="Q69" s="1" t="b">
        <v>1</v>
      </c>
      <c r="R69" s="1" t="s">
        <v>63</v>
      </c>
      <c r="S69" s="1" t="s">
        <v>64</v>
      </c>
      <c r="T69" s="1" t="s">
        <v>65</v>
      </c>
      <c r="U69" s="1">
        <v>4.95</v>
      </c>
      <c r="V69" s="1">
        <v>38.0</v>
      </c>
      <c r="W69" s="1">
        <v>2.0</v>
      </c>
      <c r="X69" s="7">
        <v>46193.0</v>
      </c>
      <c r="Y69" s="1" t="s">
        <v>66</v>
      </c>
      <c r="Z69" s="1" t="b">
        <v>1</v>
      </c>
      <c r="AA69" s="1">
        <v>601.0</v>
      </c>
      <c r="AB69" s="1" t="b">
        <v>0</v>
      </c>
      <c r="AC69" s="1">
        <v>92.0</v>
      </c>
      <c r="AD69" s="1">
        <v>28.0</v>
      </c>
      <c r="AE69" s="8">
        <v>46155.0</v>
      </c>
      <c r="AF69" s="1" t="s">
        <v>67</v>
      </c>
      <c r="AG69" s="1" t="s">
        <v>293</v>
      </c>
      <c r="AH69" s="1" t="s">
        <v>69</v>
      </c>
      <c r="AI69" s="1" t="s">
        <v>70</v>
      </c>
      <c r="AJ69" s="1">
        <v>85259.0</v>
      </c>
      <c r="AK69" s="1" t="s">
        <v>71</v>
      </c>
      <c r="AL69" s="1" t="s">
        <v>72</v>
      </c>
      <c r="AM69" s="9" t="s">
        <v>439</v>
      </c>
      <c r="AN69" s="1" t="s">
        <v>440</v>
      </c>
      <c r="AO69" s="1">
        <v>3513175.0</v>
      </c>
      <c r="AP69" s="1">
        <v>33.58894</v>
      </c>
      <c r="AQ69" s="1">
        <v>-111.81458</v>
      </c>
      <c r="AR69" s="1">
        <v>35.49</v>
      </c>
      <c r="AS69" s="10">
        <f>AVERAGE($C$2:$C$134)</f>
        <v>206948.5429</v>
      </c>
      <c r="AT69" s="1">
        <v>1.31</v>
      </c>
      <c r="AU69" s="10">
        <f>IFERROR(($AS12-C12)/$AS12,0)</f>
        <v>0.4450359572</v>
      </c>
      <c r="AV69" s="10">
        <f>$AS12-C12</f>
        <v>92099.54286</v>
      </c>
      <c r="AW69" s="1">
        <v>48389.0</v>
      </c>
      <c r="AX69" s="1" t="s">
        <v>440</v>
      </c>
      <c r="AZ69" s="9" t="s">
        <v>441</v>
      </c>
      <c r="BA69" s="1" t="s">
        <v>442</v>
      </c>
      <c r="BE69" s="1" t="s">
        <v>330</v>
      </c>
    </row>
    <row r="70">
      <c r="A70" s="1" t="s">
        <v>443</v>
      </c>
      <c r="C70" s="1">
        <v>241167.0</v>
      </c>
      <c r="D70" s="1">
        <v>373740.0</v>
      </c>
      <c r="E70" s="1">
        <v>1827.02</v>
      </c>
      <c r="F70" s="1">
        <v>55.7</v>
      </c>
      <c r="G70" s="1">
        <v>246.0</v>
      </c>
      <c r="H70" s="1">
        <v>7.0</v>
      </c>
      <c r="I70" s="1">
        <v>4.0</v>
      </c>
      <c r="J70" s="1">
        <v>16.0</v>
      </c>
      <c r="K70" s="1" t="b">
        <v>1</v>
      </c>
      <c r="L70" s="1" t="b">
        <v>1</v>
      </c>
      <c r="M70" s="1" t="b">
        <v>1</v>
      </c>
      <c r="N70" s="1" t="b">
        <v>1</v>
      </c>
      <c r="O70" s="1" t="b">
        <v>1</v>
      </c>
      <c r="P70" s="1" t="b">
        <v>1</v>
      </c>
      <c r="Q70" s="1" t="b">
        <v>1</v>
      </c>
      <c r="R70" s="1" t="s">
        <v>63</v>
      </c>
      <c r="S70" s="1" t="s">
        <v>64</v>
      </c>
      <c r="T70" s="1" t="s">
        <v>65</v>
      </c>
      <c r="U70" s="1">
        <v>4.85</v>
      </c>
      <c r="V70" s="1">
        <v>43.0</v>
      </c>
      <c r="W70" s="1">
        <v>3.0</v>
      </c>
      <c r="X70" s="7">
        <v>46193.0</v>
      </c>
      <c r="Y70" s="1" t="s">
        <v>66</v>
      </c>
      <c r="Z70" s="1" t="b">
        <v>1</v>
      </c>
      <c r="AA70" s="1">
        <v>475.0</v>
      </c>
      <c r="AB70" s="1" t="b">
        <v>0</v>
      </c>
      <c r="AC70" s="1">
        <v>132.0</v>
      </c>
      <c r="AD70" s="1">
        <v>39.0</v>
      </c>
      <c r="AE70" s="8">
        <v>46155.0</v>
      </c>
      <c r="AF70" s="1" t="s">
        <v>67</v>
      </c>
      <c r="AG70" s="1" t="s">
        <v>68</v>
      </c>
      <c r="AH70" s="1" t="s">
        <v>68</v>
      </c>
      <c r="AI70" s="1" t="s">
        <v>70</v>
      </c>
      <c r="AJ70" s="1">
        <v>85253.0</v>
      </c>
      <c r="AK70" s="1" t="s">
        <v>71</v>
      </c>
      <c r="AL70" s="1" t="s">
        <v>72</v>
      </c>
      <c r="AM70" s="9" t="s">
        <v>444</v>
      </c>
      <c r="AN70" s="1" t="s">
        <v>445</v>
      </c>
      <c r="AO70" s="1">
        <v>4992723.0</v>
      </c>
      <c r="AP70" s="1">
        <v>33.5224</v>
      </c>
      <c r="AQ70" s="1">
        <v>-111.9721</v>
      </c>
      <c r="AR70" s="1">
        <v>53.1</v>
      </c>
      <c r="AS70" s="10">
        <f t="shared" ref="AS70:AS72" si="17">AVERAGE($C$2:$C$596)</f>
        <v>206948.5429</v>
      </c>
      <c r="AT70" s="1">
        <v>2.6</v>
      </c>
      <c r="AU70" s="10">
        <f>IFERROR(($AS92-C92)/$AS92,0)</f>
        <v>0.4857175676</v>
      </c>
      <c r="AV70" s="10">
        <f>$AS92-C92</f>
        <v>100518.5429</v>
      </c>
      <c r="AW70" s="1">
        <v>132573.0</v>
      </c>
      <c r="AX70" s="1" t="s">
        <v>445</v>
      </c>
      <c r="AZ70" s="9" t="s">
        <v>446</v>
      </c>
      <c r="BA70" s="1" t="s">
        <v>447</v>
      </c>
      <c r="BE70" s="1" t="s">
        <v>330</v>
      </c>
    </row>
    <row r="71">
      <c r="A71" s="1">
        <v>5.01396425E8</v>
      </c>
      <c r="C71" s="1">
        <v>273716.0</v>
      </c>
      <c r="D71" s="1">
        <v>320821.0</v>
      </c>
      <c r="E71" s="1">
        <v>2300.13</v>
      </c>
      <c r="F71" s="1">
        <v>37.9</v>
      </c>
      <c r="G71" s="1">
        <v>327.0</v>
      </c>
      <c r="H71" s="1">
        <v>5.0</v>
      </c>
      <c r="I71" s="1">
        <v>5.0</v>
      </c>
      <c r="J71" s="1">
        <v>16.0</v>
      </c>
      <c r="K71" s="1" t="b">
        <v>1</v>
      </c>
      <c r="L71" s="1" t="b">
        <v>1</v>
      </c>
      <c r="M71" s="1" t="b">
        <v>1</v>
      </c>
      <c r="N71" s="1" t="b">
        <v>1</v>
      </c>
      <c r="O71" s="1" t="b">
        <v>0</v>
      </c>
      <c r="P71" s="1" t="b">
        <v>1</v>
      </c>
      <c r="Q71" s="1" t="b">
        <v>1</v>
      </c>
      <c r="R71" s="1" t="s">
        <v>63</v>
      </c>
      <c r="S71" s="1" t="s">
        <v>83</v>
      </c>
      <c r="T71" s="1" t="s">
        <v>65</v>
      </c>
      <c r="U71" s="1">
        <v>5.0</v>
      </c>
      <c r="V71" s="1">
        <v>1.0</v>
      </c>
      <c r="W71" s="1">
        <v>3.0</v>
      </c>
      <c r="X71" s="7">
        <v>46058.0</v>
      </c>
      <c r="Y71" s="1" t="s">
        <v>66</v>
      </c>
      <c r="Z71" s="1" t="b">
        <v>0</v>
      </c>
      <c r="AA71" s="1">
        <v>969.0</v>
      </c>
      <c r="AB71" s="1" t="b">
        <v>1</v>
      </c>
      <c r="AC71" s="1">
        <v>119.0</v>
      </c>
      <c r="AD71" s="1">
        <v>27.0</v>
      </c>
      <c r="AE71" s="8">
        <v>46155.0</v>
      </c>
      <c r="AF71" s="1" t="s">
        <v>67</v>
      </c>
      <c r="AG71" s="1" t="s">
        <v>68</v>
      </c>
      <c r="AH71" s="1" t="s">
        <v>69</v>
      </c>
      <c r="AI71" s="1" t="s">
        <v>70</v>
      </c>
      <c r="AJ71" s="1">
        <v>85258.0</v>
      </c>
      <c r="AK71" s="1" t="s">
        <v>71</v>
      </c>
      <c r="AL71" s="1" t="s">
        <v>72</v>
      </c>
      <c r="AM71" s="9" t="s">
        <v>448</v>
      </c>
      <c r="AN71" s="1" t="s">
        <v>449</v>
      </c>
      <c r="AP71" s="1">
        <v>33.5586</v>
      </c>
      <c r="AQ71" s="1">
        <v>-111.9168</v>
      </c>
      <c r="AR71" s="1">
        <v>52.34</v>
      </c>
      <c r="AS71" s="10">
        <f t="shared" si="17"/>
        <v>206948.5429</v>
      </c>
      <c r="AT71" s="1">
        <v>-14.44</v>
      </c>
      <c r="AU71" s="10">
        <f>IFERROR(($AS72-C72)/$AS72,0)</f>
        <v>0.3375358043</v>
      </c>
      <c r="AV71" s="10">
        <f>$AS72-C72</f>
        <v>69852.54286</v>
      </c>
      <c r="AW71" s="1">
        <v>47105.0</v>
      </c>
      <c r="AX71" s="1" t="s">
        <v>449</v>
      </c>
      <c r="AZ71" s="9" t="s">
        <v>450</v>
      </c>
      <c r="BA71" s="1" t="s">
        <v>451</v>
      </c>
      <c r="BE71" s="1" t="s">
        <v>330</v>
      </c>
    </row>
    <row r="72">
      <c r="A72" s="1">
        <v>5.20218715E8</v>
      </c>
      <c r="C72" s="1">
        <v>137096.0</v>
      </c>
      <c r="D72" s="1">
        <v>192312.0</v>
      </c>
      <c r="E72" s="1">
        <v>1384.81</v>
      </c>
      <c r="F72" s="1">
        <v>40.41</v>
      </c>
      <c r="G72" s="1">
        <v>310.0</v>
      </c>
      <c r="H72" s="1">
        <v>6.0</v>
      </c>
      <c r="I72" s="1">
        <v>4.0</v>
      </c>
      <c r="J72" s="1">
        <v>14.0</v>
      </c>
      <c r="K72" s="1" t="b">
        <v>1</v>
      </c>
      <c r="L72" s="1" t="b">
        <v>0</v>
      </c>
      <c r="M72" s="1" t="b">
        <v>1</v>
      </c>
      <c r="N72" s="1" t="b">
        <v>1</v>
      </c>
      <c r="O72" s="1" t="b">
        <v>1</v>
      </c>
      <c r="P72" s="1" t="b">
        <v>1</v>
      </c>
      <c r="Q72" s="1" t="b">
        <v>1</v>
      </c>
      <c r="R72" s="1" t="s">
        <v>63</v>
      </c>
      <c r="S72" s="1" t="s">
        <v>64</v>
      </c>
      <c r="T72" s="1" t="s">
        <v>65</v>
      </c>
      <c r="U72" s="1">
        <v>4.95</v>
      </c>
      <c r="V72" s="1">
        <v>49.0</v>
      </c>
      <c r="W72" s="1">
        <v>2.0</v>
      </c>
      <c r="X72" s="7">
        <v>46058.0</v>
      </c>
      <c r="Y72" s="1" t="s">
        <v>66</v>
      </c>
      <c r="Z72" s="1" t="b">
        <v>1</v>
      </c>
      <c r="AA72" s="1">
        <v>894.0</v>
      </c>
      <c r="AB72" s="1" t="b">
        <v>1</v>
      </c>
      <c r="AC72" s="1">
        <v>99.0</v>
      </c>
      <c r="AD72" s="1">
        <v>24.0</v>
      </c>
      <c r="AE72" s="8">
        <v>46155.0</v>
      </c>
      <c r="AF72" s="1" t="s">
        <v>67</v>
      </c>
      <c r="AG72" s="1" t="s">
        <v>68</v>
      </c>
      <c r="AH72" s="1" t="s">
        <v>69</v>
      </c>
      <c r="AI72" s="1" t="s">
        <v>70</v>
      </c>
      <c r="AJ72" s="1">
        <v>85254.0</v>
      </c>
      <c r="AK72" s="1" t="s">
        <v>71</v>
      </c>
      <c r="AL72" s="1" t="s">
        <v>72</v>
      </c>
      <c r="AM72" s="9" t="s">
        <v>452</v>
      </c>
      <c r="AN72" s="1" t="s">
        <v>453</v>
      </c>
      <c r="AO72" s="1">
        <v>3565193.0</v>
      </c>
      <c r="AP72" s="1">
        <v>33.58496</v>
      </c>
      <c r="AQ72" s="1">
        <v>-111.95546</v>
      </c>
      <c r="AR72" s="1">
        <v>47.11</v>
      </c>
      <c r="AS72" s="10">
        <f t="shared" si="17"/>
        <v>206948.5429</v>
      </c>
      <c r="AT72" s="1">
        <v>-6.7</v>
      </c>
      <c r="AU72" s="10">
        <f>IFERROR(($AS197-C197)/$AS197,0)</f>
        <v>0</v>
      </c>
      <c r="AV72" s="10">
        <f>$AS197-C197</f>
        <v>0</v>
      </c>
      <c r="AW72" s="1">
        <v>55216.0</v>
      </c>
      <c r="AX72" s="1" t="s">
        <v>453</v>
      </c>
      <c r="AZ72" s="9" t="s">
        <v>454</v>
      </c>
      <c r="BA72" s="1" t="s">
        <v>455</v>
      </c>
      <c r="BE72" s="1" t="s">
        <v>330</v>
      </c>
    </row>
    <row r="73">
      <c r="A73" s="1">
        <v>2.48909842E8</v>
      </c>
      <c r="C73" s="1">
        <v>111225.0</v>
      </c>
      <c r="D73" s="1">
        <v>117902.0</v>
      </c>
      <c r="E73" s="1">
        <v>926.88</v>
      </c>
      <c r="F73" s="1">
        <v>34.09</v>
      </c>
      <c r="G73" s="1">
        <v>352.0</v>
      </c>
      <c r="H73" s="1">
        <v>7.0</v>
      </c>
      <c r="I73" s="1">
        <v>4.0</v>
      </c>
      <c r="J73" s="1">
        <v>16.0</v>
      </c>
      <c r="K73" s="1" t="b">
        <v>1</v>
      </c>
      <c r="L73" s="1" t="b">
        <v>0</v>
      </c>
      <c r="M73" s="1" t="b">
        <v>0</v>
      </c>
      <c r="N73" s="1" t="b">
        <v>1</v>
      </c>
      <c r="O73" s="1" t="b">
        <v>1</v>
      </c>
      <c r="P73" s="1" t="b">
        <v>1</v>
      </c>
      <c r="Q73" s="1" t="b">
        <v>0</v>
      </c>
      <c r="R73" s="1" t="s">
        <v>63</v>
      </c>
      <c r="S73" s="1" t="s">
        <v>119</v>
      </c>
      <c r="T73" s="1" t="s">
        <v>65</v>
      </c>
      <c r="U73" s="1">
        <v>5.0</v>
      </c>
      <c r="V73" s="1">
        <v>79.0</v>
      </c>
      <c r="W73" s="1">
        <v>2.0</v>
      </c>
      <c r="X73" s="1">
        <v>1.0</v>
      </c>
      <c r="Y73" s="1" t="s">
        <v>66</v>
      </c>
      <c r="Z73" s="1" t="b">
        <v>1</v>
      </c>
      <c r="AA73" s="1">
        <v>599.0</v>
      </c>
      <c r="AB73" s="1" t="b">
        <v>0</v>
      </c>
      <c r="AC73" s="1">
        <v>120.0</v>
      </c>
      <c r="AD73" s="1">
        <v>43.0</v>
      </c>
      <c r="AE73" s="8">
        <v>46155.0</v>
      </c>
      <c r="AF73" s="1" t="s">
        <v>120</v>
      </c>
      <c r="AG73" s="1" t="s">
        <v>121</v>
      </c>
      <c r="AH73" s="1" t="s">
        <v>122</v>
      </c>
      <c r="AI73" s="1" t="s">
        <v>70</v>
      </c>
      <c r="AJ73" s="1">
        <v>85934.0</v>
      </c>
      <c r="AK73" s="1" t="s">
        <v>71</v>
      </c>
      <c r="AL73" s="1" t="s">
        <v>123</v>
      </c>
      <c r="AM73" s="9" t="s">
        <v>456</v>
      </c>
      <c r="AN73" s="1" t="s">
        <v>457</v>
      </c>
      <c r="AO73" s="1">
        <v>3630558.0</v>
      </c>
      <c r="AP73" s="1">
        <v>34.2541</v>
      </c>
      <c r="AQ73" s="1">
        <v>-110.2354</v>
      </c>
      <c r="AR73" s="1">
        <v>34.09</v>
      </c>
      <c r="AS73" s="10">
        <f>AVERAGE($C$2:$C$103)</f>
        <v>209098.9118</v>
      </c>
      <c r="AT73" s="1">
        <v>0.0</v>
      </c>
      <c r="AU73" s="10">
        <f>IFERROR(($AS11-C11)/$AS11,0)</f>
        <v>0.4581503283</v>
      </c>
      <c r="AV73" s="10">
        <f>$AS11-C11</f>
        <v>94813.54286</v>
      </c>
      <c r="AW73" s="1">
        <v>6677.0</v>
      </c>
      <c r="AX73" s="1" t="s">
        <v>457</v>
      </c>
      <c r="AZ73" s="9" t="s">
        <v>458</v>
      </c>
      <c r="BA73" s="1" t="s">
        <v>459</v>
      </c>
      <c r="BE73" s="1" t="s">
        <v>330</v>
      </c>
    </row>
    <row r="74">
      <c r="A74" s="1">
        <v>2.48909842E8</v>
      </c>
      <c r="C74" s="1">
        <v>111225.0</v>
      </c>
      <c r="D74" s="1">
        <v>117902.0</v>
      </c>
      <c r="E74" s="1">
        <v>926.88</v>
      </c>
      <c r="F74" s="1">
        <v>34.09</v>
      </c>
      <c r="G74" s="1">
        <v>352.0</v>
      </c>
      <c r="H74" s="1">
        <v>7.0</v>
      </c>
      <c r="I74" s="1">
        <v>4.0</v>
      </c>
      <c r="J74" s="1">
        <v>16.0</v>
      </c>
      <c r="K74" s="1" t="b">
        <v>1</v>
      </c>
      <c r="L74" s="1" t="b">
        <v>0</v>
      </c>
      <c r="M74" s="1" t="b">
        <v>0</v>
      </c>
      <c r="N74" s="1" t="b">
        <v>1</v>
      </c>
      <c r="O74" s="1" t="b">
        <v>1</v>
      </c>
      <c r="P74" s="1" t="b">
        <v>1</v>
      </c>
      <c r="Q74" s="1" t="b">
        <v>0</v>
      </c>
      <c r="R74" s="1" t="s">
        <v>63</v>
      </c>
      <c r="S74" s="1" t="s">
        <v>119</v>
      </c>
      <c r="T74" s="1" t="s">
        <v>65</v>
      </c>
      <c r="U74" s="1">
        <v>5.0</v>
      </c>
      <c r="V74" s="1">
        <v>79.0</v>
      </c>
      <c r="W74" s="1">
        <v>2.0</v>
      </c>
      <c r="X74" s="1">
        <v>1.0</v>
      </c>
      <c r="Y74" s="1" t="s">
        <v>66</v>
      </c>
      <c r="Z74" s="1" t="b">
        <v>1</v>
      </c>
      <c r="AA74" s="1">
        <v>599.0</v>
      </c>
      <c r="AB74" s="1" t="b">
        <v>0</v>
      </c>
      <c r="AC74" s="1">
        <v>120.0</v>
      </c>
      <c r="AD74" s="1">
        <v>43.0</v>
      </c>
      <c r="AE74" s="8">
        <v>46155.0</v>
      </c>
      <c r="AF74" s="1" t="s">
        <v>120</v>
      </c>
      <c r="AG74" s="1" t="s">
        <v>121</v>
      </c>
      <c r="AH74" s="1" t="s">
        <v>122</v>
      </c>
      <c r="AI74" s="1" t="s">
        <v>70</v>
      </c>
      <c r="AJ74" s="1">
        <v>85934.0</v>
      </c>
      <c r="AK74" s="1" t="s">
        <v>71</v>
      </c>
      <c r="AL74" s="1" t="s">
        <v>123</v>
      </c>
      <c r="AM74" s="9" t="s">
        <v>456</v>
      </c>
      <c r="AN74" s="1" t="s">
        <v>457</v>
      </c>
      <c r="AO74" s="1">
        <v>3630558.0</v>
      </c>
      <c r="AP74" s="1">
        <v>34.2541</v>
      </c>
      <c r="AQ74" s="1">
        <v>-110.2354</v>
      </c>
      <c r="AR74" s="1">
        <v>35.34</v>
      </c>
      <c r="AS74" s="10">
        <f>AVERAGE($C$2:$C$407)</f>
        <v>206948.5429</v>
      </c>
      <c r="AT74" s="1">
        <v>-1.25</v>
      </c>
      <c r="AU74" s="10">
        <f>IFERROR(($AS14-C14)/$AS14,0)</f>
        <v>0.2340559744</v>
      </c>
      <c r="AV74" s="10">
        <f>$AS14-C14</f>
        <v>48437.54286</v>
      </c>
      <c r="AW74" s="1">
        <v>6677.0</v>
      </c>
      <c r="AX74" s="1" t="s">
        <v>457</v>
      </c>
      <c r="AZ74" s="9" t="s">
        <v>458</v>
      </c>
      <c r="BA74" s="1" t="s">
        <v>459</v>
      </c>
      <c r="BE74" s="1" t="s">
        <v>330</v>
      </c>
    </row>
    <row r="75">
      <c r="A75" s="1">
        <v>5.25152848E8</v>
      </c>
      <c r="C75" s="1">
        <v>186175.0</v>
      </c>
      <c r="D75" s="1">
        <v>192066.0</v>
      </c>
      <c r="E75" s="1">
        <v>1443.22</v>
      </c>
      <c r="F75" s="1">
        <v>37.39</v>
      </c>
      <c r="G75" s="1">
        <v>354.0</v>
      </c>
      <c r="H75" s="1">
        <v>8.0</v>
      </c>
      <c r="I75" s="1">
        <v>9.0</v>
      </c>
      <c r="J75" s="1">
        <v>16.0</v>
      </c>
      <c r="K75" s="1" t="b">
        <v>1</v>
      </c>
      <c r="L75" s="1" t="b">
        <v>0</v>
      </c>
      <c r="M75" s="1" t="b">
        <v>1</v>
      </c>
      <c r="N75" s="1" t="b">
        <v>1</v>
      </c>
      <c r="O75" s="1" t="b">
        <v>1</v>
      </c>
      <c r="P75" s="1" t="b">
        <v>1</v>
      </c>
      <c r="Q75" s="1" t="b">
        <v>1</v>
      </c>
      <c r="R75" s="1" t="s">
        <v>63</v>
      </c>
      <c r="S75" s="1" t="s">
        <v>64</v>
      </c>
      <c r="T75" s="1" t="s">
        <v>65</v>
      </c>
      <c r="U75" s="1">
        <v>5.0</v>
      </c>
      <c r="V75" s="1">
        <v>64.0</v>
      </c>
      <c r="W75" s="1">
        <v>3.0</v>
      </c>
      <c r="X75" s="7">
        <v>46058.0</v>
      </c>
      <c r="Y75" s="1" t="s">
        <v>66</v>
      </c>
      <c r="Z75" s="1" t="b">
        <v>1</v>
      </c>
      <c r="AA75" s="1">
        <v>694.0</v>
      </c>
      <c r="AB75" s="1" t="b">
        <v>1</v>
      </c>
      <c r="AC75" s="1">
        <v>129.0</v>
      </c>
      <c r="AD75" s="1">
        <v>35.0</v>
      </c>
      <c r="AE75" s="8">
        <v>46155.0</v>
      </c>
      <c r="AF75" s="1" t="s">
        <v>376</v>
      </c>
      <c r="AG75" s="1" t="s">
        <v>377</v>
      </c>
      <c r="AH75" s="1" t="s">
        <v>377</v>
      </c>
      <c r="AI75" s="1" t="s">
        <v>70</v>
      </c>
      <c r="AJ75" s="1">
        <v>86404.0</v>
      </c>
      <c r="AK75" s="1" t="s">
        <v>71</v>
      </c>
      <c r="AL75" s="1" t="s">
        <v>123</v>
      </c>
      <c r="AM75" s="9" t="s">
        <v>460</v>
      </c>
      <c r="AN75" s="1" t="s">
        <v>461</v>
      </c>
      <c r="AO75" s="1">
        <v>3552769.0</v>
      </c>
      <c r="AP75" s="1">
        <v>34.52426</v>
      </c>
      <c r="AQ75" s="1">
        <v>-114.28077</v>
      </c>
      <c r="AR75" s="1">
        <v>44.84</v>
      </c>
      <c r="AS75" s="10">
        <f>AVERAGE($C$2:$C$501)</f>
        <v>206948.5429</v>
      </c>
      <c r="AT75" s="1">
        <v>-7.45</v>
      </c>
      <c r="AU75" s="10">
        <f>IFERROR(($AS12-C12)/$AS12,0)</f>
        <v>0.4450359572</v>
      </c>
      <c r="AV75" s="10">
        <f>$AS12-C12</f>
        <v>92099.54286</v>
      </c>
      <c r="AW75" s="1">
        <v>5891.0</v>
      </c>
      <c r="AX75" s="1" t="s">
        <v>461</v>
      </c>
      <c r="AZ75" s="9" t="s">
        <v>462</v>
      </c>
      <c r="BA75" s="1" t="s">
        <v>463</v>
      </c>
      <c r="BE75" s="1" t="s">
        <v>330</v>
      </c>
    </row>
    <row r="76">
      <c r="A76" s="1">
        <v>3.96393429E8</v>
      </c>
      <c r="C76" s="1">
        <v>178082.0</v>
      </c>
      <c r="D76" s="1">
        <v>181725.0</v>
      </c>
      <c r="E76" s="1">
        <v>1745.9</v>
      </c>
      <c r="F76" s="1">
        <v>36.17</v>
      </c>
      <c r="G76" s="1">
        <v>355.0</v>
      </c>
      <c r="H76" s="1">
        <v>6.0</v>
      </c>
      <c r="I76" s="1">
        <v>6.0</v>
      </c>
      <c r="J76" s="1">
        <v>12.0</v>
      </c>
      <c r="K76" s="1" t="b">
        <v>1</v>
      </c>
      <c r="L76" s="1" t="b">
        <v>0</v>
      </c>
      <c r="M76" s="1" t="b">
        <v>1</v>
      </c>
      <c r="N76" s="1" t="b">
        <v>1</v>
      </c>
      <c r="O76" s="1" t="b">
        <v>1</v>
      </c>
      <c r="P76" s="1" t="b">
        <v>0</v>
      </c>
      <c r="Q76" s="1" t="b">
        <v>1</v>
      </c>
      <c r="R76" s="1" t="s">
        <v>63</v>
      </c>
      <c r="S76" s="1" t="s">
        <v>64</v>
      </c>
      <c r="T76" s="1" t="s">
        <v>65</v>
      </c>
      <c r="U76" s="1">
        <v>5.0</v>
      </c>
      <c r="V76" s="1">
        <v>10.0</v>
      </c>
      <c r="W76" s="1">
        <v>1.0</v>
      </c>
      <c r="X76" s="1">
        <v>1.0</v>
      </c>
      <c r="Y76" s="1" t="s">
        <v>66</v>
      </c>
      <c r="Z76" s="1" t="b">
        <v>0</v>
      </c>
      <c r="AA76" s="1">
        <v>610.0</v>
      </c>
      <c r="AB76" s="1" t="b">
        <v>0</v>
      </c>
      <c r="AC76" s="1">
        <v>102.0</v>
      </c>
      <c r="AD76" s="1">
        <v>30.0</v>
      </c>
      <c r="AE76" s="8">
        <v>46159.0</v>
      </c>
      <c r="AF76" s="1" t="s">
        <v>67</v>
      </c>
      <c r="AG76" s="1" t="s">
        <v>68</v>
      </c>
      <c r="AH76" s="1" t="s">
        <v>69</v>
      </c>
      <c r="AI76" s="1" t="s">
        <v>70</v>
      </c>
      <c r="AJ76" s="1">
        <v>85254.0</v>
      </c>
      <c r="AK76" s="1" t="s">
        <v>71</v>
      </c>
      <c r="AL76" s="1" t="s">
        <v>72</v>
      </c>
      <c r="AM76" s="9" t="s">
        <v>464</v>
      </c>
      <c r="AN76" s="1" t="s">
        <v>465</v>
      </c>
      <c r="AO76" s="1">
        <v>4096080.0</v>
      </c>
      <c r="AP76" s="1">
        <v>33.60327</v>
      </c>
      <c r="AQ76" s="1">
        <v>-111.93727</v>
      </c>
      <c r="AR76" s="1">
        <v>47.11</v>
      </c>
      <c r="AS76" s="10">
        <f t="shared" ref="AS76:AS77" si="18">AVERAGE($C$2:$C$596)</f>
        <v>206948.5429</v>
      </c>
      <c r="AT76" s="1">
        <v>-10.94</v>
      </c>
      <c r="AU76" s="10">
        <f>IFERROR(($AS141-C141)/$AS141,0)</f>
        <v>0</v>
      </c>
      <c r="AV76" s="10">
        <f>$AS141-C141</f>
        <v>0</v>
      </c>
      <c r="AW76" s="1">
        <v>3643.0</v>
      </c>
      <c r="AX76" s="1" t="s">
        <v>465</v>
      </c>
      <c r="AZ76" s="9" t="s">
        <v>466</v>
      </c>
      <c r="BA76" s="1" t="s">
        <v>467</v>
      </c>
      <c r="BE76" s="1" t="s">
        <v>330</v>
      </c>
    </row>
    <row r="77">
      <c r="A77" s="1">
        <v>1.0097608E8</v>
      </c>
      <c r="C77" s="1">
        <v>101017.0</v>
      </c>
      <c r="D77" s="1">
        <v>154860.0</v>
      </c>
      <c r="E77" s="1">
        <v>1188.44</v>
      </c>
      <c r="F77" s="1">
        <v>41.67</v>
      </c>
      <c r="G77" s="1">
        <v>254.0</v>
      </c>
      <c r="H77" s="1">
        <v>6.0</v>
      </c>
      <c r="I77" s="1">
        <v>3.0</v>
      </c>
      <c r="J77" s="1">
        <v>10.0</v>
      </c>
      <c r="K77" s="1" t="b">
        <v>1</v>
      </c>
      <c r="L77" s="1" t="b">
        <v>0</v>
      </c>
      <c r="M77" s="1" t="b">
        <v>1</v>
      </c>
      <c r="N77" s="1" t="b">
        <v>1</v>
      </c>
      <c r="O77" s="1" t="b">
        <v>1</v>
      </c>
      <c r="P77" s="1" t="b">
        <v>1</v>
      </c>
      <c r="Q77" s="1" t="b">
        <v>1</v>
      </c>
      <c r="R77" s="1" t="s">
        <v>63</v>
      </c>
      <c r="S77" s="1" t="s">
        <v>64</v>
      </c>
      <c r="T77" s="1" t="s">
        <v>65</v>
      </c>
      <c r="U77" s="1">
        <v>5.0</v>
      </c>
      <c r="V77" s="1">
        <v>47.0</v>
      </c>
      <c r="W77" s="1">
        <v>2.0</v>
      </c>
      <c r="X77" s="7">
        <v>46058.0</v>
      </c>
      <c r="Y77" s="1" t="s">
        <v>66</v>
      </c>
      <c r="Z77" s="1" t="b">
        <v>1</v>
      </c>
      <c r="AA77" s="1">
        <v>500.0</v>
      </c>
      <c r="AB77" s="1" t="b">
        <v>0</v>
      </c>
      <c r="AC77" s="1">
        <v>85.0</v>
      </c>
      <c r="AD77" s="1">
        <v>23.0</v>
      </c>
      <c r="AE77" s="8">
        <v>46158.0</v>
      </c>
      <c r="AF77" s="1" t="s">
        <v>67</v>
      </c>
      <c r="AG77" s="1" t="s">
        <v>68</v>
      </c>
      <c r="AH77" s="1" t="s">
        <v>69</v>
      </c>
      <c r="AI77" s="1" t="s">
        <v>70</v>
      </c>
      <c r="AJ77" s="1">
        <v>85260.0</v>
      </c>
      <c r="AK77" s="1" t="s">
        <v>71</v>
      </c>
      <c r="AL77" s="1" t="s">
        <v>72</v>
      </c>
      <c r="AM77" s="9" t="s">
        <v>468</v>
      </c>
      <c r="AN77" s="1" t="s">
        <v>469</v>
      </c>
      <c r="AO77" s="1">
        <v>3906384.0</v>
      </c>
      <c r="AP77" s="1">
        <v>33.59959</v>
      </c>
      <c r="AQ77" s="1">
        <v>-111.91204</v>
      </c>
      <c r="AR77" s="1">
        <v>47.11</v>
      </c>
      <c r="AS77" s="10">
        <f t="shared" si="18"/>
        <v>206948.5429</v>
      </c>
      <c r="AT77" s="1">
        <v>-5.44</v>
      </c>
      <c r="AU77" s="10">
        <f>IFERROR(($AS265-C265)/$AS265,0)</f>
        <v>0</v>
      </c>
      <c r="AV77" s="10">
        <f>$AS265-C265</f>
        <v>0</v>
      </c>
      <c r="AW77" s="1">
        <v>53843.0</v>
      </c>
      <c r="AX77" s="1" t="s">
        <v>469</v>
      </c>
      <c r="AZ77" s="9" t="s">
        <v>470</v>
      </c>
      <c r="BA77" s="1" t="s">
        <v>471</v>
      </c>
      <c r="BE77" s="1" t="s">
        <v>330</v>
      </c>
    </row>
    <row r="78">
      <c r="A78" s="1">
        <v>9.769623E7</v>
      </c>
      <c r="C78" s="1">
        <v>126733.0</v>
      </c>
      <c r="D78" s="1">
        <v>169699.0</v>
      </c>
      <c r="E78" s="1">
        <v>918.36</v>
      </c>
      <c r="F78" s="1">
        <v>55.87</v>
      </c>
      <c r="G78" s="1">
        <v>285.0</v>
      </c>
      <c r="H78" s="1">
        <v>6.0</v>
      </c>
      <c r="I78" s="1">
        <v>5.0</v>
      </c>
      <c r="J78" s="1">
        <v>14.0</v>
      </c>
      <c r="K78" s="1" t="b">
        <v>1</v>
      </c>
      <c r="L78" s="1" t="b">
        <v>0</v>
      </c>
      <c r="M78" s="1" t="b">
        <v>1</v>
      </c>
      <c r="N78" s="1" t="b">
        <v>1</v>
      </c>
      <c r="O78" s="1" t="b">
        <v>1</v>
      </c>
      <c r="P78" s="1" t="b">
        <v>1</v>
      </c>
      <c r="Q78" s="1" t="b">
        <v>1</v>
      </c>
      <c r="R78" s="1" t="s">
        <v>63</v>
      </c>
      <c r="S78" s="1" t="s">
        <v>64</v>
      </c>
      <c r="T78" s="1" t="s">
        <v>65</v>
      </c>
      <c r="U78" s="1">
        <v>4.95</v>
      </c>
      <c r="V78" s="1">
        <v>75.0</v>
      </c>
      <c r="W78" s="1">
        <v>4.0</v>
      </c>
      <c r="X78" s="1">
        <v>1.0</v>
      </c>
      <c r="Y78" s="1" t="s">
        <v>66</v>
      </c>
      <c r="Z78" s="1" t="b">
        <v>1</v>
      </c>
      <c r="AA78" s="1">
        <v>501.0</v>
      </c>
      <c r="AB78" s="1" t="b">
        <v>0</v>
      </c>
      <c r="AC78" s="1">
        <v>138.0</v>
      </c>
      <c r="AD78" s="1">
        <v>21.0</v>
      </c>
      <c r="AE78" s="8">
        <v>46159.0</v>
      </c>
      <c r="AF78" s="1" t="s">
        <v>376</v>
      </c>
      <c r="AG78" s="1" t="s">
        <v>377</v>
      </c>
      <c r="AH78" s="1" t="s">
        <v>377</v>
      </c>
      <c r="AI78" s="1" t="s">
        <v>70</v>
      </c>
      <c r="AJ78" s="1">
        <v>86404.0</v>
      </c>
      <c r="AK78" s="1" t="s">
        <v>71</v>
      </c>
      <c r="AL78" s="1" t="s">
        <v>123</v>
      </c>
      <c r="AM78" s="9" t="s">
        <v>472</v>
      </c>
      <c r="AN78" s="1" t="s">
        <v>473</v>
      </c>
      <c r="AP78" s="1">
        <v>34.5166</v>
      </c>
      <c r="AQ78" s="1">
        <v>-114.3547</v>
      </c>
      <c r="AR78" s="1">
        <v>55.87</v>
      </c>
      <c r="AS78" s="10">
        <f>AVERAGE($C$2:$C$501)</f>
        <v>206948.5429</v>
      </c>
      <c r="AT78" s="1">
        <v>0.0</v>
      </c>
      <c r="AU78" s="10">
        <f>IFERROR(($AS14-C14)/$AS14,0)</f>
        <v>0.2340559744</v>
      </c>
      <c r="AV78" s="10">
        <f>$AS14-C14</f>
        <v>48437.54286</v>
      </c>
      <c r="AW78" s="1">
        <v>42966.0</v>
      </c>
      <c r="AX78" s="1" t="s">
        <v>473</v>
      </c>
      <c r="AZ78" s="9" t="s">
        <v>474</v>
      </c>
      <c r="BA78" s="1" t="s">
        <v>475</v>
      </c>
      <c r="BE78" s="1" t="s">
        <v>330</v>
      </c>
    </row>
    <row r="79">
      <c r="A79" s="1">
        <v>5.47587646E8</v>
      </c>
      <c r="C79" s="1">
        <v>246918.0</v>
      </c>
      <c r="D79" s="1">
        <v>260130.0</v>
      </c>
      <c r="E79" s="1">
        <v>1944.24</v>
      </c>
      <c r="F79" s="1">
        <v>39.56</v>
      </c>
      <c r="G79" s="1">
        <v>353.0</v>
      </c>
      <c r="H79" s="1">
        <v>8.0</v>
      </c>
      <c r="I79" s="1">
        <v>4.0</v>
      </c>
      <c r="J79" s="1">
        <v>16.0</v>
      </c>
      <c r="K79" s="1" t="b">
        <v>0</v>
      </c>
      <c r="L79" s="1" t="b">
        <v>1</v>
      </c>
      <c r="M79" s="1" t="b">
        <v>1</v>
      </c>
      <c r="N79" s="1" t="b">
        <v>1</v>
      </c>
      <c r="O79" s="1" t="b">
        <v>1</v>
      </c>
      <c r="P79" s="1" t="b">
        <v>1</v>
      </c>
      <c r="Q79" s="1" t="b">
        <v>0</v>
      </c>
      <c r="R79" s="1" t="s">
        <v>63</v>
      </c>
      <c r="S79" s="1" t="s">
        <v>64</v>
      </c>
      <c r="T79" s="1" t="s">
        <v>65</v>
      </c>
      <c r="U79" s="1">
        <v>4.85</v>
      </c>
      <c r="V79" s="1">
        <v>36.0</v>
      </c>
      <c r="W79" s="1">
        <v>2.0</v>
      </c>
      <c r="X79" s="7">
        <v>46058.0</v>
      </c>
      <c r="Y79" s="1" t="s">
        <v>66</v>
      </c>
      <c r="Z79" s="1" t="b">
        <v>0</v>
      </c>
      <c r="AA79" s="1">
        <v>751.0</v>
      </c>
      <c r="AB79" s="1" t="b">
        <v>1</v>
      </c>
      <c r="AC79" s="1">
        <v>127.0</v>
      </c>
      <c r="AD79" s="1">
        <v>43.0</v>
      </c>
      <c r="AE79" s="8">
        <v>46158.0</v>
      </c>
      <c r="AF79" s="1" t="s">
        <v>166</v>
      </c>
      <c r="AG79" s="1" t="s">
        <v>166</v>
      </c>
      <c r="AH79" s="1" t="s">
        <v>166</v>
      </c>
      <c r="AI79" s="1" t="s">
        <v>70</v>
      </c>
      <c r="AJ79" s="1">
        <v>86001.0</v>
      </c>
      <c r="AK79" s="1" t="s">
        <v>71</v>
      </c>
      <c r="AL79" s="1" t="s">
        <v>167</v>
      </c>
      <c r="AM79" s="9" t="s">
        <v>476</v>
      </c>
      <c r="AN79" s="1" t="s">
        <v>477</v>
      </c>
      <c r="AO79" s="1">
        <v>4507209.0</v>
      </c>
      <c r="AP79" s="1">
        <v>35.25584</v>
      </c>
      <c r="AQ79" s="1">
        <v>-111.75204</v>
      </c>
      <c r="AR79" s="1">
        <v>40.01</v>
      </c>
      <c r="AS79" s="10">
        <f>AVERAGE($C$2:$C$130)</f>
        <v>206948.5429</v>
      </c>
      <c r="AT79" s="1">
        <v>-0.45</v>
      </c>
      <c r="AU79" s="10">
        <f>IFERROR(($AS14-C14)/$AS14,0)</f>
        <v>0.2340559744</v>
      </c>
      <c r="AV79" s="10">
        <f>$AS14-C14</f>
        <v>48437.54286</v>
      </c>
      <c r="AW79" s="1">
        <v>13212.0</v>
      </c>
      <c r="AX79" s="1" t="s">
        <v>477</v>
      </c>
      <c r="AZ79" s="9" t="s">
        <v>478</v>
      </c>
      <c r="BA79" s="1" t="s">
        <v>479</v>
      </c>
      <c r="BE79" s="1" t="s">
        <v>330</v>
      </c>
    </row>
    <row r="80">
      <c r="A80" s="1">
        <v>4.84563587E8</v>
      </c>
      <c r="C80" s="1">
        <v>223669.0</v>
      </c>
      <c r="D80" s="1">
        <v>275160.0</v>
      </c>
      <c r="E80" s="1">
        <v>2236.69</v>
      </c>
      <c r="F80" s="1">
        <v>48.54</v>
      </c>
      <c r="G80" s="1">
        <v>302.0</v>
      </c>
      <c r="H80" s="1">
        <v>7.0</v>
      </c>
      <c r="I80" s="1">
        <v>6.0</v>
      </c>
      <c r="J80" s="1">
        <v>16.0</v>
      </c>
      <c r="K80" s="1" t="b">
        <v>1</v>
      </c>
      <c r="L80" s="1" t="b">
        <v>0</v>
      </c>
      <c r="M80" s="1" t="b">
        <v>1</v>
      </c>
      <c r="N80" s="1" t="b">
        <v>1</v>
      </c>
      <c r="O80" s="1" t="b">
        <v>1</v>
      </c>
      <c r="P80" s="1" t="b">
        <v>0</v>
      </c>
      <c r="Q80" s="1" t="b">
        <v>1</v>
      </c>
      <c r="R80" s="1" t="s">
        <v>63</v>
      </c>
      <c r="S80" s="1" t="s">
        <v>64</v>
      </c>
      <c r="T80" s="1" t="s">
        <v>65</v>
      </c>
      <c r="U80" s="1">
        <v>4.95</v>
      </c>
      <c r="V80" s="1">
        <v>26.0</v>
      </c>
      <c r="W80" s="1">
        <v>3.0</v>
      </c>
      <c r="X80" s="7">
        <v>46193.0</v>
      </c>
      <c r="Y80" s="1" t="s">
        <v>66</v>
      </c>
      <c r="Z80" s="1" t="b">
        <v>1</v>
      </c>
      <c r="AA80" s="1">
        <v>800.0</v>
      </c>
      <c r="AB80" s="1" t="b">
        <v>1</v>
      </c>
      <c r="AC80" s="1">
        <v>100.0</v>
      </c>
      <c r="AD80" s="1">
        <v>22.0</v>
      </c>
      <c r="AE80" s="8">
        <v>46155.0</v>
      </c>
      <c r="AF80" s="1" t="s">
        <v>67</v>
      </c>
      <c r="AG80" s="1" t="s">
        <v>68</v>
      </c>
      <c r="AH80" s="1" t="s">
        <v>69</v>
      </c>
      <c r="AI80" s="1" t="s">
        <v>70</v>
      </c>
      <c r="AJ80" s="1">
        <v>85254.0</v>
      </c>
      <c r="AK80" s="1" t="s">
        <v>71</v>
      </c>
      <c r="AL80" s="1" t="s">
        <v>72</v>
      </c>
      <c r="AM80" s="9" t="s">
        <v>480</v>
      </c>
      <c r="AN80" s="1" t="s">
        <v>481</v>
      </c>
      <c r="AO80" s="1">
        <v>4375734.0</v>
      </c>
      <c r="AP80" s="1">
        <v>33.5902</v>
      </c>
      <c r="AQ80" s="1">
        <v>-111.9684</v>
      </c>
      <c r="AR80" s="1">
        <v>53.1</v>
      </c>
      <c r="AS80" s="10">
        <f>AVERAGE($C$2:$C$596)</f>
        <v>206948.5429</v>
      </c>
      <c r="AT80" s="1">
        <v>-4.56</v>
      </c>
      <c r="AU80" s="10">
        <f>IFERROR(($AS100-C100)/$AS100,0)</f>
        <v>-1.429821409</v>
      </c>
      <c r="AV80" s="10">
        <f>$AS100-C100</f>
        <v>-295899.4571</v>
      </c>
      <c r="AW80" s="1">
        <v>51491.0</v>
      </c>
      <c r="AX80" s="1" t="s">
        <v>481</v>
      </c>
      <c r="AZ80" s="9" t="s">
        <v>482</v>
      </c>
      <c r="BA80" s="1" t="s">
        <v>483</v>
      </c>
      <c r="BE80" s="1" t="s">
        <v>330</v>
      </c>
    </row>
    <row r="81">
      <c r="A81" s="1">
        <v>5.67771776E8</v>
      </c>
      <c r="C81" s="1">
        <v>115895.0</v>
      </c>
      <c r="D81" s="1">
        <v>120736.0</v>
      </c>
      <c r="E81" s="1">
        <v>1332.13</v>
      </c>
      <c r="F81" s="1">
        <v>26.2</v>
      </c>
      <c r="G81" s="1">
        <v>350.0</v>
      </c>
      <c r="H81" s="1">
        <v>8.0</v>
      </c>
      <c r="I81" s="1">
        <v>6.0</v>
      </c>
      <c r="J81" s="1">
        <v>16.0</v>
      </c>
      <c r="K81" s="1" t="b">
        <v>1</v>
      </c>
      <c r="L81" s="1" t="b">
        <v>0</v>
      </c>
      <c r="M81" s="1" t="b">
        <v>0</v>
      </c>
      <c r="N81" s="1" t="b">
        <v>1</v>
      </c>
      <c r="O81" s="1" t="b">
        <v>1</v>
      </c>
      <c r="P81" s="1" t="b">
        <v>1</v>
      </c>
      <c r="Q81" s="1" t="b">
        <v>0</v>
      </c>
      <c r="R81" s="1" t="s">
        <v>63</v>
      </c>
      <c r="S81" s="1" t="s">
        <v>64</v>
      </c>
      <c r="T81" s="1" t="s">
        <v>65</v>
      </c>
      <c r="U81" s="1">
        <v>4.85</v>
      </c>
      <c r="V81" s="1">
        <v>7.0</v>
      </c>
      <c r="W81" s="1">
        <v>1.0</v>
      </c>
      <c r="X81" s="1">
        <v>1.0</v>
      </c>
      <c r="Y81" s="1" t="s">
        <v>66</v>
      </c>
      <c r="Z81" s="1" t="b">
        <v>0</v>
      </c>
      <c r="AA81" s="1">
        <v>450.0</v>
      </c>
      <c r="AB81" s="1" t="b">
        <v>1</v>
      </c>
      <c r="AC81" s="1">
        <v>87.0</v>
      </c>
      <c r="AD81" s="1">
        <v>40.0</v>
      </c>
      <c r="AE81" s="8">
        <v>46158.0</v>
      </c>
      <c r="AF81" s="1" t="s">
        <v>484</v>
      </c>
      <c r="AG81" s="1" t="s">
        <v>485</v>
      </c>
      <c r="AH81" s="1" t="s">
        <v>486</v>
      </c>
      <c r="AI81" s="1" t="s">
        <v>487</v>
      </c>
      <c r="AJ81" s="1">
        <v>29687.0</v>
      </c>
      <c r="AK81" s="1" t="s">
        <v>71</v>
      </c>
      <c r="AL81" s="1" t="s">
        <v>167</v>
      </c>
      <c r="AM81" s="9" t="s">
        <v>488</v>
      </c>
      <c r="AN81" s="1" t="s">
        <v>489</v>
      </c>
      <c r="AO81" s="1">
        <v>3910858.0</v>
      </c>
      <c r="AP81" s="1">
        <v>34.9785</v>
      </c>
      <c r="AQ81" s="1">
        <v>-82.292</v>
      </c>
      <c r="AR81" s="1">
        <v>26.2</v>
      </c>
      <c r="AS81" s="10">
        <f>AVERAGE($C$2:$C$67)</f>
        <v>220080.3636</v>
      </c>
      <c r="AT81" s="1">
        <v>0.0</v>
      </c>
      <c r="AU81" s="10">
        <f>IFERROR(($AS10-C10)/$AS10,0)</f>
        <v>-1.148814357</v>
      </c>
      <c r="AV81" s="10">
        <f>$AS10-C10</f>
        <v>-237745.4571</v>
      </c>
      <c r="AW81" s="1">
        <v>4841.0</v>
      </c>
      <c r="AX81" s="1" t="s">
        <v>489</v>
      </c>
      <c r="AZ81" s="9" t="s">
        <v>490</v>
      </c>
      <c r="BA81" s="1" t="s">
        <v>491</v>
      </c>
      <c r="BE81" s="1" t="s">
        <v>330</v>
      </c>
    </row>
    <row r="82">
      <c r="A82" s="1">
        <v>1.47676453E8</v>
      </c>
      <c r="C82" s="1">
        <v>191637.0</v>
      </c>
      <c r="D82" s="1">
        <v>222151.0</v>
      </c>
      <c r="E82" s="1">
        <v>1269.12</v>
      </c>
      <c r="F82" s="1">
        <v>52.98</v>
      </c>
      <c r="G82" s="1">
        <v>318.0</v>
      </c>
      <c r="H82" s="1">
        <v>7.0</v>
      </c>
      <c r="I82" s="1">
        <v>6.0</v>
      </c>
      <c r="J82" s="1">
        <v>14.0</v>
      </c>
      <c r="K82" s="1" t="b">
        <v>1</v>
      </c>
      <c r="L82" s="1" t="b">
        <v>0</v>
      </c>
      <c r="M82" s="1" t="b">
        <v>1</v>
      </c>
      <c r="N82" s="1" t="b">
        <v>1</v>
      </c>
      <c r="O82" s="1" t="b">
        <v>1</v>
      </c>
      <c r="P82" s="1" t="b">
        <v>0</v>
      </c>
      <c r="Q82" s="1" t="b">
        <v>1</v>
      </c>
      <c r="R82" s="1" t="s">
        <v>63</v>
      </c>
      <c r="S82" s="1" t="s">
        <v>64</v>
      </c>
      <c r="T82" s="1" t="s">
        <v>65</v>
      </c>
      <c r="U82" s="1">
        <v>5.0</v>
      </c>
      <c r="V82" s="1">
        <v>41.0</v>
      </c>
      <c r="W82" s="1">
        <v>3.0</v>
      </c>
      <c r="X82" s="7">
        <v>46058.0</v>
      </c>
      <c r="Y82" s="1" t="s">
        <v>66</v>
      </c>
      <c r="Z82" s="1" t="b">
        <v>1</v>
      </c>
      <c r="AA82" s="1">
        <v>551.0</v>
      </c>
      <c r="AB82" s="1" t="b">
        <v>1</v>
      </c>
      <c r="AC82" s="1">
        <v>151.0</v>
      </c>
      <c r="AD82" s="1">
        <v>34.0</v>
      </c>
      <c r="AE82" s="8">
        <v>46153.0</v>
      </c>
      <c r="AF82" s="1" t="s">
        <v>268</v>
      </c>
      <c r="AG82" s="1" t="s">
        <v>347</v>
      </c>
      <c r="AH82" s="1" t="s">
        <v>347</v>
      </c>
      <c r="AI82" s="1" t="s">
        <v>70</v>
      </c>
      <c r="AJ82" s="1">
        <v>86040.0</v>
      </c>
      <c r="AK82" s="1" t="s">
        <v>71</v>
      </c>
      <c r="AL82" s="1" t="s">
        <v>123</v>
      </c>
      <c r="AM82" s="9" t="s">
        <v>492</v>
      </c>
      <c r="AN82" s="1" t="s">
        <v>493</v>
      </c>
      <c r="AO82" s="1">
        <v>3958516.0</v>
      </c>
      <c r="AP82" s="1">
        <v>36.9318</v>
      </c>
      <c r="AQ82" s="1">
        <v>-111.4657</v>
      </c>
      <c r="AR82" s="1">
        <v>50.34</v>
      </c>
      <c r="AS82" s="10">
        <f>AVERAGE($C$2:$C$179)</f>
        <v>206948.5429</v>
      </c>
      <c r="AT82" s="1">
        <v>2.64</v>
      </c>
      <c r="AU82" s="10">
        <f>IFERROR(($AS9-C9)/$AS9,0)</f>
        <v>0.1819995557</v>
      </c>
      <c r="AV82" s="10">
        <f>$AS9-C9</f>
        <v>37664.54286</v>
      </c>
      <c r="AW82" s="1">
        <v>30514.0</v>
      </c>
      <c r="AX82" s="1" t="s">
        <v>493</v>
      </c>
      <c r="AZ82" s="9" t="s">
        <v>494</v>
      </c>
      <c r="BA82" s="1" t="s">
        <v>495</v>
      </c>
      <c r="BE82" s="1" t="s">
        <v>330</v>
      </c>
    </row>
    <row r="83">
      <c r="A83" s="1">
        <v>3.89513245E8</v>
      </c>
      <c r="C83" s="1">
        <v>177802.0</v>
      </c>
      <c r="D83" s="1">
        <v>232253.0</v>
      </c>
      <c r="E83" s="1">
        <v>1778.02</v>
      </c>
      <c r="F83" s="1">
        <v>36.36</v>
      </c>
      <c r="G83" s="1">
        <v>309.0</v>
      </c>
      <c r="H83" s="1">
        <v>7.0</v>
      </c>
      <c r="I83" s="1">
        <v>5.0</v>
      </c>
      <c r="J83" s="1">
        <v>14.0</v>
      </c>
      <c r="K83" s="1" t="b">
        <v>1</v>
      </c>
      <c r="L83" s="1" t="b">
        <v>1</v>
      </c>
      <c r="M83" s="1" t="b">
        <v>1</v>
      </c>
      <c r="N83" s="1" t="b">
        <v>1</v>
      </c>
      <c r="O83" s="1" t="b">
        <v>1</v>
      </c>
      <c r="P83" s="1" t="b">
        <v>0</v>
      </c>
      <c r="Q83" s="1" t="b">
        <v>1</v>
      </c>
      <c r="R83" s="1" t="s">
        <v>63</v>
      </c>
      <c r="S83" s="1" t="s">
        <v>64</v>
      </c>
      <c r="T83" s="1" t="s">
        <v>65</v>
      </c>
      <c r="U83" s="1">
        <v>5.0</v>
      </c>
      <c r="V83" s="1">
        <v>24.0</v>
      </c>
      <c r="W83" s="1">
        <v>4.0</v>
      </c>
      <c r="X83" s="1">
        <v>1.0</v>
      </c>
      <c r="Y83" s="1" t="s">
        <v>66</v>
      </c>
      <c r="Z83" s="1" t="b">
        <v>0</v>
      </c>
      <c r="AA83" s="1">
        <v>552.0</v>
      </c>
      <c r="AB83" s="1" t="b">
        <v>0</v>
      </c>
      <c r="AC83" s="1">
        <v>100.0</v>
      </c>
      <c r="AD83" s="1">
        <v>25.0</v>
      </c>
      <c r="AE83" s="8">
        <v>46155.0</v>
      </c>
      <c r="AF83" s="1" t="s">
        <v>67</v>
      </c>
      <c r="AG83" s="1" t="s">
        <v>68</v>
      </c>
      <c r="AH83" s="1" t="s">
        <v>68</v>
      </c>
      <c r="AI83" s="1" t="s">
        <v>70</v>
      </c>
      <c r="AJ83" s="1">
        <v>85253.0</v>
      </c>
      <c r="AK83" s="1" t="s">
        <v>71</v>
      </c>
      <c r="AL83" s="1" t="s">
        <v>72</v>
      </c>
      <c r="AM83" s="9" t="s">
        <v>496</v>
      </c>
      <c r="AN83" s="1" t="s">
        <v>497</v>
      </c>
      <c r="AO83" s="1">
        <v>4236484.0</v>
      </c>
      <c r="AP83" s="1">
        <v>33.5273</v>
      </c>
      <c r="AQ83" s="1">
        <v>-111.97956</v>
      </c>
      <c r="AR83" s="1">
        <v>53.1</v>
      </c>
      <c r="AS83" s="10">
        <f t="shared" ref="AS83:AS84" si="19">AVERAGE($C$2:$C$596)</f>
        <v>206948.5429</v>
      </c>
      <c r="AT83" s="1">
        <v>-16.74</v>
      </c>
      <c r="AU83" s="10">
        <f>IFERROR(($AS141-C141)/$AS141,0)</f>
        <v>0</v>
      </c>
      <c r="AV83" s="10">
        <f>$AS141-C141</f>
        <v>0</v>
      </c>
      <c r="AW83" s="1">
        <v>54451.0</v>
      </c>
      <c r="AX83" s="1" t="s">
        <v>497</v>
      </c>
      <c r="AZ83" s="9" t="s">
        <v>498</v>
      </c>
      <c r="BA83" s="1" t="s">
        <v>499</v>
      </c>
      <c r="BE83" s="1" t="s">
        <v>330</v>
      </c>
    </row>
    <row r="84">
      <c r="A84" s="1">
        <v>1.80522709E8</v>
      </c>
      <c r="C84" s="1">
        <v>215012.0</v>
      </c>
      <c r="D84" s="1">
        <v>253502.0</v>
      </c>
      <c r="E84" s="1">
        <v>1311.05</v>
      </c>
      <c r="F84" s="1">
        <v>52.73</v>
      </c>
      <c r="G84" s="1">
        <v>311.0</v>
      </c>
      <c r="H84" s="1">
        <v>5.0</v>
      </c>
      <c r="I84" s="1">
        <v>4.0</v>
      </c>
      <c r="J84" s="1">
        <v>14.0</v>
      </c>
      <c r="K84" s="1" t="b">
        <v>1</v>
      </c>
      <c r="L84" s="1" t="b">
        <v>0</v>
      </c>
      <c r="M84" s="1" t="b">
        <v>1</v>
      </c>
      <c r="N84" s="1" t="b">
        <v>1</v>
      </c>
      <c r="O84" s="1" t="b">
        <v>1</v>
      </c>
      <c r="P84" s="1" t="b">
        <v>0</v>
      </c>
      <c r="Q84" s="1" t="b">
        <v>1</v>
      </c>
      <c r="R84" s="1" t="s">
        <v>63</v>
      </c>
      <c r="S84" s="1" t="s">
        <v>64</v>
      </c>
      <c r="T84" s="1" t="s">
        <v>65</v>
      </c>
      <c r="U84" s="1">
        <v>4.95</v>
      </c>
      <c r="V84" s="1">
        <v>50.0</v>
      </c>
      <c r="W84" s="1">
        <v>2.0</v>
      </c>
      <c r="X84" s="1">
        <v>1.0</v>
      </c>
      <c r="Y84" s="1" t="s">
        <v>66</v>
      </c>
      <c r="Z84" s="1" t="b">
        <v>1</v>
      </c>
      <c r="AA84" s="1">
        <v>462.0</v>
      </c>
      <c r="AB84" s="1" t="b">
        <v>1</v>
      </c>
      <c r="AC84" s="1">
        <v>164.0</v>
      </c>
      <c r="AD84" s="1">
        <v>45.0</v>
      </c>
      <c r="AE84" s="8">
        <v>46153.0</v>
      </c>
      <c r="AF84" s="1" t="s">
        <v>67</v>
      </c>
      <c r="AG84" s="1" t="s">
        <v>68</v>
      </c>
      <c r="AH84" s="1" t="s">
        <v>69</v>
      </c>
      <c r="AI84" s="1" t="s">
        <v>70</v>
      </c>
      <c r="AJ84" s="1">
        <v>85254.0</v>
      </c>
      <c r="AK84" s="1" t="s">
        <v>71</v>
      </c>
      <c r="AL84" s="1" t="s">
        <v>72</v>
      </c>
      <c r="AM84" s="9" t="s">
        <v>500</v>
      </c>
      <c r="AN84" s="1" t="s">
        <v>501</v>
      </c>
      <c r="AO84" s="1">
        <v>4796935.0</v>
      </c>
      <c r="AP84" s="1">
        <v>33.6099</v>
      </c>
      <c r="AQ84" s="1">
        <v>-111.9495</v>
      </c>
      <c r="AR84" s="1">
        <v>52.34</v>
      </c>
      <c r="AS84" s="10">
        <f t="shared" si="19"/>
        <v>206948.5429</v>
      </c>
      <c r="AT84" s="1">
        <v>0.39</v>
      </c>
      <c r="AU84" s="10">
        <f>IFERROR(($AS106-C106)/$AS106,0)</f>
        <v>0.3838178407</v>
      </c>
      <c r="AV84" s="10">
        <f>$AS106-C106</f>
        <v>79430.54286</v>
      </c>
      <c r="AW84" s="1">
        <v>38490.0</v>
      </c>
      <c r="AX84" s="1" t="s">
        <v>501</v>
      </c>
      <c r="AZ84" s="9" t="s">
        <v>502</v>
      </c>
      <c r="BA84" s="1" t="s">
        <v>503</v>
      </c>
      <c r="BE84" s="1" t="s">
        <v>330</v>
      </c>
    </row>
    <row r="85">
      <c r="A85" s="1">
        <v>1.58774122E8</v>
      </c>
      <c r="C85" s="1">
        <v>144161.0</v>
      </c>
      <c r="D85" s="1">
        <v>245260.0</v>
      </c>
      <c r="E85" s="1">
        <v>1275.76</v>
      </c>
      <c r="F85" s="1">
        <v>58.85</v>
      </c>
      <c r="G85" s="1">
        <v>203.0</v>
      </c>
      <c r="H85" s="1">
        <v>7.0</v>
      </c>
      <c r="I85" s="1">
        <v>6.0</v>
      </c>
      <c r="J85" s="1">
        <v>16.0</v>
      </c>
      <c r="K85" s="1" t="b">
        <v>1</v>
      </c>
      <c r="L85" s="1" t="b">
        <v>0</v>
      </c>
      <c r="M85" s="1" t="b">
        <v>1</v>
      </c>
      <c r="N85" s="1" t="b">
        <v>1</v>
      </c>
      <c r="O85" s="1" t="b">
        <v>1</v>
      </c>
      <c r="P85" s="1" t="b">
        <v>1</v>
      </c>
      <c r="Q85" s="1" t="b">
        <v>1</v>
      </c>
      <c r="R85" s="1" t="s">
        <v>63</v>
      </c>
      <c r="S85" s="1" t="s">
        <v>64</v>
      </c>
      <c r="T85" s="1" t="s">
        <v>65</v>
      </c>
      <c r="U85" s="1">
        <v>5.0</v>
      </c>
      <c r="V85" s="1">
        <v>70.0</v>
      </c>
      <c r="W85" s="1">
        <v>2.0</v>
      </c>
      <c r="X85" s="7">
        <v>46193.0</v>
      </c>
      <c r="Y85" s="1" t="s">
        <v>66</v>
      </c>
      <c r="Z85" s="1" t="b">
        <v>1</v>
      </c>
      <c r="AA85" s="1">
        <v>750.0</v>
      </c>
      <c r="AB85" s="1" t="b">
        <v>1</v>
      </c>
      <c r="AC85" s="1">
        <v>113.0</v>
      </c>
      <c r="AD85" s="1">
        <v>36.0</v>
      </c>
      <c r="AE85" s="8">
        <v>46159.0</v>
      </c>
      <c r="AF85" s="1" t="s">
        <v>376</v>
      </c>
      <c r="AG85" s="1" t="s">
        <v>377</v>
      </c>
      <c r="AH85" s="1" t="s">
        <v>377</v>
      </c>
      <c r="AI85" s="1" t="s">
        <v>70</v>
      </c>
      <c r="AJ85" s="1">
        <v>86406.0</v>
      </c>
      <c r="AK85" s="1" t="s">
        <v>71</v>
      </c>
      <c r="AL85" s="1" t="s">
        <v>123</v>
      </c>
      <c r="AM85" s="9" t="s">
        <v>504</v>
      </c>
      <c r="AN85" s="1" t="s">
        <v>505</v>
      </c>
      <c r="AO85" s="1">
        <v>4183192.0</v>
      </c>
      <c r="AP85" s="1">
        <v>34.46156</v>
      </c>
      <c r="AQ85" s="1">
        <v>-114.29117</v>
      </c>
      <c r="AR85" s="1">
        <v>44.84</v>
      </c>
      <c r="AS85" s="10">
        <f>AVERAGE($C$2:$C$501)</f>
        <v>206948.5429</v>
      </c>
      <c r="AT85" s="1">
        <v>14.01</v>
      </c>
      <c r="AU85" s="10">
        <f>IFERROR(($AS12-C12)/$AS12,0)</f>
        <v>0.4450359572</v>
      </c>
      <c r="AV85" s="10">
        <f>$AS12-C12</f>
        <v>92099.54286</v>
      </c>
      <c r="AW85" s="1">
        <v>101099.0</v>
      </c>
      <c r="AX85" s="1" t="s">
        <v>505</v>
      </c>
      <c r="AZ85" s="9" t="s">
        <v>506</v>
      </c>
      <c r="BA85" s="1" t="s">
        <v>507</v>
      </c>
      <c r="BE85" s="1" t="s">
        <v>330</v>
      </c>
    </row>
    <row r="86">
      <c r="A86" s="1">
        <v>5.60921243E8</v>
      </c>
      <c r="C86" s="1">
        <v>155448.0</v>
      </c>
      <c r="D86" s="1">
        <v>166474.0</v>
      </c>
      <c r="E86" s="1">
        <v>1480.46</v>
      </c>
      <c r="F86" s="1">
        <v>33.76</v>
      </c>
      <c r="G86" s="1">
        <v>346.0</v>
      </c>
      <c r="H86" s="1">
        <v>5.0</v>
      </c>
      <c r="I86" s="1">
        <v>4.0</v>
      </c>
      <c r="J86" s="1">
        <v>16.0</v>
      </c>
      <c r="K86" s="1" t="b">
        <v>1</v>
      </c>
      <c r="L86" s="1" t="b">
        <v>0</v>
      </c>
      <c r="M86" s="1" t="b">
        <v>0</v>
      </c>
      <c r="N86" s="1" t="b">
        <v>1</v>
      </c>
      <c r="O86" s="1" t="b">
        <v>1</v>
      </c>
      <c r="P86" s="1" t="b">
        <v>1</v>
      </c>
      <c r="Q86" s="1" t="b">
        <v>1</v>
      </c>
      <c r="R86" s="1" t="s">
        <v>63</v>
      </c>
      <c r="S86" s="1" t="s">
        <v>83</v>
      </c>
      <c r="T86" s="1" t="s">
        <v>65</v>
      </c>
      <c r="U86" s="1">
        <v>4.95</v>
      </c>
      <c r="V86" s="1">
        <v>21.0</v>
      </c>
      <c r="W86" s="1">
        <v>2.0</v>
      </c>
      <c r="X86" s="1">
        <v>1.0</v>
      </c>
      <c r="Y86" s="1" t="s">
        <v>66</v>
      </c>
      <c r="Z86" s="1" t="b">
        <v>1</v>
      </c>
      <c r="AA86" s="1">
        <v>550.0</v>
      </c>
      <c r="AB86" s="1" t="b">
        <v>0</v>
      </c>
      <c r="AC86" s="1">
        <v>105.0</v>
      </c>
      <c r="AD86" s="1">
        <v>40.0</v>
      </c>
      <c r="AE86" s="8">
        <v>46156.0</v>
      </c>
      <c r="AF86" s="1" t="s">
        <v>67</v>
      </c>
      <c r="AG86" s="1" t="s">
        <v>68</v>
      </c>
      <c r="AH86" s="1" t="s">
        <v>68</v>
      </c>
      <c r="AI86" s="1" t="s">
        <v>70</v>
      </c>
      <c r="AJ86" s="1">
        <v>85253.0</v>
      </c>
      <c r="AK86" s="1" t="s">
        <v>71</v>
      </c>
      <c r="AL86" s="1" t="s">
        <v>72</v>
      </c>
      <c r="AM86" s="9" t="s">
        <v>508</v>
      </c>
      <c r="AN86" s="1" t="s">
        <v>509</v>
      </c>
      <c r="AO86" s="1">
        <v>4178238.0</v>
      </c>
      <c r="AP86" s="1">
        <v>33.53335</v>
      </c>
      <c r="AQ86" s="1">
        <v>-111.99138</v>
      </c>
      <c r="AR86" s="1">
        <v>52.34</v>
      </c>
      <c r="AS86" s="10">
        <f t="shared" ref="AS86:AS87" si="20">AVERAGE($C$2:$C$596)</f>
        <v>206948.5429</v>
      </c>
      <c r="AT86" s="1">
        <v>-18.58</v>
      </c>
      <c r="AU86" s="10">
        <f>IFERROR(($AS167-C167)/$AS167,0)</f>
        <v>0</v>
      </c>
      <c r="AV86" s="10">
        <f>$AS167-C167</f>
        <v>0</v>
      </c>
      <c r="AW86" s="1">
        <v>11026.0</v>
      </c>
      <c r="AX86" s="1" t="s">
        <v>509</v>
      </c>
      <c r="AZ86" s="9" t="s">
        <v>510</v>
      </c>
      <c r="BA86" s="1" t="s">
        <v>511</v>
      </c>
      <c r="BE86" s="1" t="s">
        <v>330</v>
      </c>
    </row>
    <row r="87">
      <c r="A87" s="1">
        <v>6.5756305E8</v>
      </c>
      <c r="C87" s="1">
        <v>290551.0</v>
      </c>
      <c r="D87" s="1">
        <v>380639.0</v>
      </c>
      <c r="E87" s="1">
        <v>2526.53</v>
      </c>
      <c r="F87" s="1">
        <v>69.28</v>
      </c>
      <c r="G87" s="1">
        <v>205.0</v>
      </c>
      <c r="H87" s="1">
        <v>6.0</v>
      </c>
      <c r="I87" s="1">
        <v>5.0</v>
      </c>
      <c r="J87" s="1">
        <v>16.0</v>
      </c>
      <c r="K87" s="1" t="b">
        <v>1</v>
      </c>
      <c r="L87" s="1" t="b">
        <v>0</v>
      </c>
      <c r="M87" s="1" t="b">
        <v>1</v>
      </c>
      <c r="N87" s="1" t="b">
        <v>1</v>
      </c>
      <c r="O87" s="1" t="b">
        <v>1</v>
      </c>
      <c r="P87" s="1" t="b">
        <v>0</v>
      </c>
      <c r="Q87" s="1" t="b">
        <v>1</v>
      </c>
      <c r="R87" s="1" t="s">
        <v>63</v>
      </c>
      <c r="S87" s="1" t="s">
        <v>64</v>
      </c>
      <c r="T87" s="1" t="s">
        <v>65</v>
      </c>
      <c r="U87" s="1">
        <v>5.0</v>
      </c>
      <c r="V87" s="1">
        <v>27.0</v>
      </c>
      <c r="W87" s="1">
        <v>4.0</v>
      </c>
      <c r="X87" s="1">
        <v>1.0</v>
      </c>
      <c r="Y87" s="1" t="s">
        <v>66</v>
      </c>
      <c r="Z87" s="1" t="b">
        <v>1</v>
      </c>
      <c r="AA87" s="1">
        <v>925.0</v>
      </c>
      <c r="AB87" s="1" t="b">
        <v>1</v>
      </c>
      <c r="AC87" s="1">
        <v>115.0</v>
      </c>
      <c r="AD87" s="1">
        <v>27.0</v>
      </c>
      <c r="AE87" s="8">
        <v>46156.0</v>
      </c>
      <c r="AF87" s="1" t="s">
        <v>67</v>
      </c>
      <c r="AG87" s="1" t="s">
        <v>68</v>
      </c>
      <c r="AH87" s="1" t="s">
        <v>69</v>
      </c>
      <c r="AI87" s="1" t="s">
        <v>70</v>
      </c>
      <c r="AJ87" s="1">
        <v>85254.0</v>
      </c>
      <c r="AK87" s="1" t="s">
        <v>71</v>
      </c>
      <c r="AL87" s="1" t="s">
        <v>72</v>
      </c>
      <c r="AM87" s="9" t="s">
        <v>512</v>
      </c>
      <c r="AN87" s="1" t="s">
        <v>513</v>
      </c>
      <c r="AO87" s="1">
        <v>4824428.0</v>
      </c>
      <c r="AP87" s="1">
        <v>33.5994771664</v>
      </c>
      <c r="AQ87" s="1">
        <v>-111.9379008373</v>
      </c>
      <c r="AR87" s="1">
        <v>47.11</v>
      </c>
      <c r="AS87" s="10">
        <f t="shared" si="20"/>
        <v>206948.5429</v>
      </c>
      <c r="AT87" s="1">
        <v>22.17</v>
      </c>
      <c r="AU87" s="10">
        <f>IFERROR(($AS58-C58)/$AS58,0)</f>
        <v>-0.1350454406</v>
      </c>
      <c r="AV87" s="10">
        <f>$AS58-C58</f>
        <v>-27947.45714</v>
      </c>
      <c r="AW87" s="1">
        <v>90088.0</v>
      </c>
      <c r="AX87" s="1" t="s">
        <v>513</v>
      </c>
      <c r="AZ87" s="9" t="s">
        <v>514</v>
      </c>
      <c r="BA87" s="1" t="s">
        <v>515</v>
      </c>
      <c r="BE87" s="1" t="s">
        <v>330</v>
      </c>
    </row>
    <row r="88">
      <c r="A88" s="1">
        <v>1.58774122E8</v>
      </c>
      <c r="C88" s="1">
        <v>221355.0</v>
      </c>
      <c r="D88" s="1">
        <v>293256.0</v>
      </c>
      <c r="E88" s="1">
        <v>1505.82</v>
      </c>
      <c r="F88" s="1">
        <v>60.0</v>
      </c>
      <c r="G88" s="1">
        <v>259.0</v>
      </c>
      <c r="H88" s="1">
        <v>7.0</v>
      </c>
      <c r="I88" s="1">
        <v>6.0</v>
      </c>
      <c r="J88" s="1">
        <v>16.0</v>
      </c>
      <c r="K88" s="1" t="b">
        <v>1</v>
      </c>
      <c r="L88" s="1" t="b">
        <v>0</v>
      </c>
      <c r="M88" s="1" t="b">
        <v>1</v>
      </c>
      <c r="N88" s="1" t="b">
        <v>1</v>
      </c>
      <c r="O88" s="1" t="b">
        <v>1</v>
      </c>
      <c r="P88" s="1" t="b">
        <v>1</v>
      </c>
      <c r="Q88" s="1" t="b">
        <v>1</v>
      </c>
      <c r="R88" s="1" t="s">
        <v>63</v>
      </c>
      <c r="S88" s="1" t="s">
        <v>64</v>
      </c>
      <c r="T88" s="1" t="s">
        <v>65</v>
      </c>
      <c r="U88" s="1">
        <v>5.0</v>
      </c>
      <c r="V88" s="1">
        <v>56.0</v>
      </c>
      <c r="W88" s="1">
        <v>2.0</v>
      </c>
      <c r="X88" s="7">
        <v>46193.0</v>
      </c>
      <c r="Y88" s="1" t="s">
        <v>66</v>
      </c>
      <c r="Z88" s="1" t="b">
        <v>1</v>
      </c>
      <c r="AA88" s="1">
        <v>695.0</v>
      </c>
      <c r="AB88" s="1" t="b">
        <v>1</v>
      </c>
      <c r="AC88" s="1">
        <v>147.0</v>
      </c>
      <c r="AD88" s="1">
        <v>39.0</v>
      </c>
      <c r="AE88" s="8">
        <v>46153.0</v>
      </c>
      <c r="AF88" s="1" t="s">
        <v>376</v>
      </c>
      <c r="AG88" s="1" t="s">
        <v>377</v>
      </c>
      <c r="AH88" s="1" t="s">
        <v>377</v>
      </c>
      <c r="AI88" s="1" t="s">
        <v>70</v>
      </c>
      <c r="AJ88" s="1">
        <v>86406.0</v>
      </c>
      <c r="AK88" s="1" t="s">
        <v>71</v>
      </c>
      <c r="AL88" s="1" t="s">
        <v>123</v>
      </c>
      <c r="AM88" s="9" t="s">
        <v>516</v>
      </c>
      <c r="AN88" s="1" t="s">
        <v>517</v>
      </c>
      <c r="AO88" s="1">
        <v>4377365.0</v>
      </c>
      <c r="AP88" s="1">
        <v>34.4546191672</v>
      </c>
      <c r="AQ88" s="1">
        <v>-114.3241369602</v>
      </c>
      <c r="AR88" s="1">
        <v>44.84</v>
      </c>
      <c r="AS88" s="10">
        <f>AVERAGE($C$2:$C$501)</f>
        <v>206948.5429</v>
      </c>
      <c r="AT88" s="1">
        <v>15.16</v>
      </c>
      <c r="AU88" s="10">
        <f>IFERROR(($AS8-C8)/$AS8,0)</f>
        <v>0.1904118555</v>
      </c>
      <c r="AV88" s="10">
        <f>$AS8-C8</f>
        <v>39814.91176</v>
      </c>
      <c r="AW88" s="1">
        <v>71901.0</v>
      </c>
      <c r="AX88" s="1" t="s">
        <v>517</v>
      </c>
      <c r="AZ88" s="9" t="s">
        <v>518</v>
      </c>
      <c r="BA88" s="1" t="s">
        <v>519</v>
      </c>
      <c r="BE88" s="1" t="s">
        <v>330</v>
      </c>
    </row>
    <row r="89">
      <c r="A89" s="1">
        <v>8945407.0</v>
      </c>
      <c r="C89" s="1">
        <v>563887.0</v>
      </c>
      <c r="D89" s="1">
        <v>608872.0</v>
      </c>
      <c r="E89" s="1">
        <v>2185.61</v>
      </c>
      <c r="F89" s="1">
        <v>77.01</v>
      </c>
      <c r="G89" s="1">
        <v>335.0</v>
      </c>
      <c r="H89" s="1">
        <v>8.0</v>
      </c>
      <c r="I89" s="1">
        <v>9.0</v>
      </c>
      <c r="J89" s="1">
        <v>16.0</v>
      </c>
      <c r="K89" s="1" t="b">
        <v>1</v>
      </c>
      <c r="L89" s="1" t="b">
        <v>1</v>
      </c>
      <c r="M89" s="1" t="b">
        <v>1</v>
      </c>
      <c r="N89" s="1" t="b">
        <v>1</v>
      </c>
      <c r="O89" s="1" t="b">
        <v>1</v>
      </c>
      <c r="P89" s="1" t="b">
        <v>0</v>
      </c>
      <c r="Q89" s="1" t="b">
        <v>1</v>
      </c>
      <c r="R89" s="1" t="s">
        <v>63</v>
      </c>
      <c r="S89" s="1" t="s">
        <v>64</v>
      </c>
      <c r="T89" s="1" t="s">
        <v>65</v>
      </c>
      <c r="U89" s="1">
        <v>4.95</v>
      </c>
      <c r="V89" s="1">
        <v>65.0</v>
      </c>
      <c r="W89" s="1">
        <v>2.0</v>
      </c>
      <c r="X89" s="7">
        <v>46193.0</v>
      </c>
      <c r="Y89" s="1" t="s">
        <v>66</v>
      </c>
      <c r="Z89" s="1" t="b">
        <v>1</v>
      </c>
      <c r="AA89" s="1">
        <v>804.0</v>
      </c>
      <c r="AB89" s="1" t="b">
        <v>1</v>
      </c>
      <c r="AC89" s="1">
        <v>258.0</v>
      </c>
      <c r="AD89" s="1">
        <v>81.0</v>
      </c>
      <c r="AE89" s="8">
        <v>46159.0</v>
      </c>
      <c r="AF89" s="1" t="s">
        <v>67</v>
      </c>
      <c r="AG89" s="1" t="s">
        <v>68</v>
      </c>
      <c r="AH89" s="1" t="s">
        <v>69</v>
      </c>
      <c r="AI89" s="1" t="s">
        <v>70</v>
      </c>
      <c r="AJ89" s="1">
        <v>85254.0</v>
      </c>
      <c r="AK89" s="1" t="s">
        <v>71</v>
      </c>
      <c r="AL89" s="1" t="s">
        <v>72</v>
      </c>
      <c r="AM89" s="9" t="s">
        <v>520</v>
      </c>
      <c r="AN89" s="1" t="s">
        <v>521</v>
      </c>
      <c r="AO89" s="1">
        <v>4367943.0</v>
      </c>
      <c r="AP89" s="1">
        <v>33.603456452</v>
      </c>
      <c r="AQ89" s="1">
        <v>-111.9695654271</v>
      </c>
      <c r="AR89" s="1">
        <v>53.1</v>
      </c>
      <c r="AS89" s="10">
        <f>AVERAGE($C$2:$C$596)</f>
        <v>206948.5429</v>
      </c>
      <c r="AT89" s="1">
        <v>23.91</v>
      </c>
      <c r="AU89" s="10">
        <f>IFERROR(($AS12-C12)/$AS12,0)</f>
        <v>0.4450359572</v>
      </c>
      <c r="AV89" s="10">
        <f>$AS12-C12</f>
        <v>92099.54286</v>
      </c>
      <c r="AW89" s="1">
        <v>44985.0</v>
      </c>
      <c r="AX89" s="1" t="s">
        <v>521</v>
      </c>
      <c r="AZ89" s="9" t="s">
        <v>522</v>
      </c>
      <c r="BA89" s="1" t="s">
        <v>523</v>
      </c>
      <c r="BE89" s="1" t="s">
        <v>330</v>
      </c>
    </row>
    <row r="90">
      <c r="A90" s="1">
        <v>8.0594799E7</v>
      </c>
      <c r="C90" s="1">
        <v>116579.0</v>
      </c>
      <c r="D90" s="1">
        <v>151786.0</v>
      </c>
      <c r="E90" s="1">
        <v>1339.99</v>
      </c>
      <c r="F90" s="1">
        <v>34.94</v>
      </c>
      <c r="G90" s="1">
        <v>293.0</v>
      </c>
      <c r="H90" s="1">
        <v>5.0</v>
      </c>
      <c r="I90" s="1">
        <v>5.0</v>
      </c>
      <c r="J90" s="1">
        <v>16.0</v>
      </c>
      <c r="K90" s="1" t="b">
        <v>1</v>
      </c>
      <c r="L90" s="1" t="b">
        <v>0</v>
      </c>
      <c r="M90" s="1" t="b">
        <v>0</v>
      </c>
      <c r="N90" s="1" t="b">
        <v>1</v>
      </c>
      <c r="O90" s="1" t="b">
        <v>1</v>
      </c>
      <c r="P90" s="1" t="b">
        <v>1</v>
      </c>
      <c r="Q90" s="1" t="b">
        <v>0</v>
      </c>
      <c r="R90" s="1" t="s">
        <v>63</v>
      </c>
      <c r="S90" s="1" t="s">
        <v>64</v>
      </c>
      <c r="T90" s="1" t="s">
        <v>65</v>
      </c>
      <c r="U90" s="1">
        <v>5.0</v>
      </c>
      <c r="V90" s="1">
        <v>17.0</v>
      </c>
      <c r="W90" s="1">
        <v>3.0</v>
      </c>
      <c r="X90" s="7">
        <v>46058.0</v>
      </c>
      <c r="Y90" s="1" t="s">
        <v>66</v>
      </c>
      <c r="Z90" s="1" t="b">
        <v>0</v>
      </c>
      <c r="AA90" s="1">
        <v>2437.0</v>
      </c>
      <c r="AB90" s="1" t="b">
        <v>1</v>
      </c>
      <c r="AC90" s="1">
        <v>87.0</v>
      </c>
      <c r="AD90" s="1">
        <v>24.0</v>
      </c>
      <c r="AE90" s="8">
        <v>46155.0</v>
      </c>
      <c r="AF90" s="1" t="s">
        <v>166</v>
      </c>
      <c r="AG90" s="1" t="s">
        <v>166</v>
      </c>
      <c r="AH90" s="1" t="s">
        <v>166</v>
      </c>
      <c r="AI90" s="1" t="s">
        <v>70</v>
      </c>
      <c r="AJ90" s="1">
        <v>86001.0</v>
      </c>
      <c r="AK90" s="1" t="s">
        <v>71</v>
      </c>
      <c r="AL90" s="1" t="s">
        <v>167</v>
      </c>
      <c r="AM90" s="9" t="s">
        <v>524</v>
      </c>
      <c r="AN90" s="1" t="s">
        <v>525</v>
      </c>
      <c r="AO90" s="1">
        <v>4321308.0</v>
      </c>
      <c r="AP90" s="1">
        <v>35.2394</v>
      </c>
      <c r="AQ90" s="1">
        <v>-111.69262</v>
      </c>
      <c r="AR90" s="1">
        <v>53.54</v>
      </c>
      <c r="AS90" s="10">
        <f>AVERAGE($C$2:$C$130)</f>
        <v>206948.5429</v>
      </c>
      <c r="AT90" s="1">
        <v>-18.6</v>
      </c>
      <c r="AU90" s="10">
        <f>IFERROR(($AS40-C40)/$AS40,0)</f>
        <v>0.2017774191</v>
      </c>
      <c r="AV90" s="10">
        <f>$AS40-C40</f>
        <v>41757.54286</v>
      </c>
      <c r="AW90" s="1">
        <v>35207.0</v>
      </c>
      <c r="AX90" s="1" t="s">
        <v>525</v>
      </c>
      <c r="AZ90" s="9" t="s">
        <v>526</v>
      </c>
      <c r="BA90" s="1" t="s">
        <v>527</v>
      </c>
      <c r="BE90" s="1" t="s">
        <v>330</v>
      </c>
    </row>
    <row r="91">
      <c r="A91" s="1">
        <v>4.59783472E8</v>
      </c>
      <c r="C91" s="1">
        <v>106430.0</v>
      </c>
      <c r="D91" s="1">
        <v>114544.0</v>
      </c>
      <c r="E91" s="1">
        <v>879.59</v>
      </c>
      <c r="F91" s="1">
        <v>39.54</v>
      </c>
      <c r="G91" s="1">
        <v>336.0</v>
      </c>
      <c r="H91" s="1">
        <v>5.0</v>
      </c>
      <c r="I91" s="1">
        <v>5.0</v>
      </c>
      <c r="J91" s="1">
        <v>14.0</v>
      </c>
      <c r="K91" s="1" t="b">
        <v>1</v>
      </c>
      <c r="L91" s="1" t="b">
        <v>1</v>
      </c>
      <c r="M91" s="1" t="b">
        <v>1</v>
      </c>
      <c r="N91" s="1" t="b">
        <v>1</v>
      </c>
      <c r="O91" s="1" t="b">
        <v>1</v>
      </c>
      <c r="P91" s="1" t="b">
        <v>0</v>
      </c>
      <c r="Q91" s="1" t="b">
        <v>0</v>
      </c>
      <c r="R91" s="1" t="s">
        <v>63</v>
      </c>
      <c r="S91" s="1" t="s">
        <v>119</v>
      </c>
      <c r="T91" s="1" t="s">
        <v>65</v>
      </c>
      <c r="U91" s="1">
        <v>5.0</v>
      </c>
      <c r="V91" s="1">
        <v>26.0</v>
      </c>
      <c r="W91" s="1">
        <v>3.0</v>
      </c>
      <c r="X91" s="7">
        <v>46058.0</v>
      </c>
      <c r="Y91" s="1" t="s">
        <v>66</v>
      </c>
      <c r="Z91" s="1" t="b">
        <v>1</v>
      </c>
      <c r="AA91" s="1">
        <v>300.0</v>
      </c>
      <c r="AB91" s="1" t="b">
        <v>1</v>
      </c>
      <c r="AC91" s="1">
        <v>121.0</v>
      </c>
      <c r="AD91" s="1">
        <v>38.0</v>
      </c>
      <c r="AE91" s="8">
        <v>46158.0</v>
      </c>
      <c r="AF91" s="1" t="s">
        <v>120</v>
      </c>
      <c r="AG91" s="1" t="s">
        <v>121</v>
      </c>
      <c r="AH91" s="1" t="s">
        <v>121</v>
      </c>
      <c r="AI91" s="1" t="s">
        <v>70</v>
      </c>
      <c r="AJ91" s="1">
        <v>85901.0</v>
      </c>
      <c r="AK91" s="1" t="s">
        <v>71</v>
      </c>
      <c r="AL91" s="1" t="s">
        <v>123</v>
      </c>
      <c r="AM91" s="9" t="s">
        <v>528</v>
      </c>
      <c r="AN91" s="1" t="s">
        <v>529</v>
      </c>
      <c r="AO91" s="1">
        <v>4466823.0</v>
      </c>
      <c r="AP91" s="1">
        <v>34.2282</v>
      </c>
      <c r="AQ91" s="1">
        <v>-110.0883</v>
      </c>
      <c r="AR91" s="1">
        <v>39.54</v>
      </c>
      <c r="AS91" s="10">
        <f>AVERAGE($C$2:$C$103)</f>
        <v>209098.9118</v>
      </c>
      <c r="AT91" s="1">
        <v>0.0</v>
      </c>
      <c r="AU91" s="10">
        <f>IFERROR(($AS10-C10)/$AS10,0)</f>
        <v>-1.148814357</v>
      </c>
      <c r="AV91" s="10">
        <f>$AS10-C10</f>
        <v>-237745.4571</v>
      </c>
      <c r="AW91" s="1">
        <v>8114.0</v>
      </c>
      <c r="AX91" s="1" t="s">
        <v>529</v>
      </c>
      <c r="AZ91" s="9" t="s">
        <v>530</v>
      </c>
      <c r="BA91" s="1" t="s">
        <v>531</v>
      </c>
      <c r="BE91" s="1" t="s">
        <v>330</v>
      </c>
    </row>
    <row r="92">
      <c r="A92" s="1">
        <v>4.59783472E8</v>
      </c>
      <c r="C92" s="1">
        <v>106430.0</v>
      </c>
      <c r="D92" s="1">
        <v>114544.0</v>
      </c>
      <c r="E92" s="1">
        <v>879.59</v>
      </c>
      <c r="F92" s="1">
        <v>39.54</v>
      </c>
      <c r="G92" s="1">
        <v>336.0</v>
      </c>
      <c r="H92" s="1">
        <v>5.0</v>
      </c>
      <c r="I92" s="1">
        <v>5.0</v>
      </c>
      <c r="J92" s="1">
        <v>14.0</v>
      </c>
      <c r="K92" s="1" t="b">
        <v>1</v>
      </c>
      <c r="L92" s="1" t="b">
        <v>1</v>
      </c>
      <c r="M92" s="1" t="b">
        <v>1</v>
      </c>
      <c r="N92" s="1" t="b">
        <v>1</v>
      </c>
      <c r="O92" s="1" t="b">
        <v>1</v>
      </c>
      <c r="P92" s="1" t="b">
        <v>0</v>
      </c>
      <c r="Q92" s="1" t="b">
        <v>0</v>
      </c>
      <c r="R92" s="1" t="s">
        <v>63</v>
      </c>
      <c r="S92" s="1" t="s">
        <v>119</v>
      </c>
      <c r="T92" s="1" t="s">
        <v>65</v>
      </c>
      <c r="U92" s="1">
        <v>5.0</v>
      </c>
      <c r="V92" s="1">
        <v>26.0</v>
      </c>
      <c r="W92" s="1">
        <v>3.0</v>
      </c>
      <c r="X92" s="7">
        <v>46058.0</v>
      </c>
      <c r="Y92" s="1" t="s">
        <v>66</v>
      </c>
      <c r="Z92" s="1" t="b">
        <v>1</v>
      </c>
      <c r="AA92" s="1">
        <v>300.0</v>
      </c>
      <c r="AB92" s="1" t="b">
        <v>1</v>
      </c>
      <c r="AC92" s="1">
        <v>121.0</v>
      </c>
      <c r="AD92" s="1">
        <v>38.0</v>
      </c>
      <c r="AE92" s="8">
        <v>46158.0</v>
      </c>
      <c r="AF92" s="1" t="s">
        <v>120</v>
      </c>
      <c r="AG92" s="1" t="s">
        <v>121</v>
      </c>
      <c r="AH92" s="1" t="s">
        <v>121</v>
      </c>
      <c r="AI92" s="1" t="s">
        <v>70</v>
      </c>
      <c r="AJ92" s="1">
        <v>85901.0</v>
      </c>
      <c r="AK92" s="1" t="s">
        <v>71</v>
      </c>
      <c r="AL92" s="1" t="s">
        <v>123</v>
      </c>
      <c r="AM92" s="9" t="s">
        <v>528</v>
      </c>
      <c r="AN92" s="1" t="s">
        <v>529</v>
      </c>
      <c r="AO92" s="1">
        <v>4466823.0</v>
      </c>
      <c r="AP92" s="1">
        <v>34.2282</v>
      </c>
      <c r="AQ92" s="1">
        <v>-110.0883</v>
      </c>
      <c r="AR92" s="1">
        <v>39.54</v>
      </c>
      <c r="AS92" s="10">
        <f>AVERAGE($C$2:$C$407)</f>
        <v>206948.5429</v>
      </c>
      <c r="AT92" s="1">
        <v>0.0</v>
      </c>
      <c r="AU92" s="10">
        <f>IFERROR(($AS15-C15)/$AS15,0)</f>
        <v>0.2036764419</v>
      </c>
      <c r="AV92" s="10">
        <f>$AS15-C15</f>
        <v>42150.54286</v>
      </c>
      <c r="AW92" s="1">
        <v>8114.0</v>
      </c>
      <c r="AX92" s="1" t="s">
        <v>529</v>
      </c>
      <c r="AZ92" s="9" t="s">
        <v>530</v>
      </c>
      <c r="BA92" s="1" t="s">
        <v>531</v>
      </c>
      <c r="BE92" s="1" t="s">
        <v>330</v>
      </c>
    </row>
    <row r="93">
      <c r="A93" s="1">
        <v>3.63852213E8</v>
      </c>
      <c r="C93" s="1">
        <v>127833.0</v>
      </c>
      <c r="D93" s="1">
        <v>217861.0</v>
      </c>
      <c r="E93" s="1">
        <v>1775.46</v>
      </c>
      <c r="F93" s="1">
        <v>48.32</v>
      </c>
      <c r="G93" s="1">
        <v>202.0</v>
      </c>
      <c r="H93" s="1">
        <v>6.0</v>
      </c>
      <c r="I93" s="1">
        <v>4.0</v>
      </c>
      <c r="J93" s="1">
        <v>10.0</v>
      </c>
      <c r="K93" s="1" t="b">
        <v>1</v>
      </c>
      <c r="L93" s="1" t="b">
        <v>0</v>
      </c>
      <c r="M93" s="1" t="b">
        <v>0</v>
      </c>
      <c r="N93" s="1" t="b">
        <v>1</v>
      </c>
      <c r="O93" s="1" t="b">
        <v>1</v>
      </c>
      <c r="P93" s="1" t="b">
        <v>0</v>
      </c>
      <c r="Q93" s="1" t="b">
        <v>1</v>
      </c>
      <c r="R93" s="1" t="s">
        <v>63</v>
      </c>
      <c r="S93" s="1" t="s">
        <v>64</v>
      </c>
      <c r="T93" s="1" t="s">
        <v>65</v>
      </c>
      <c r="U93" s="1">
        <v>5.0</v>
      </c>
      <c r="V93" s="1">
        <v>3.0</v>
      </c>
      <c r="W93" s="1">
        <v>3.0</v>
      </c>
      <c r="X93" s="7">
        <v>46058.0</v>
      </c>
      <c r="Y93" s="1" t="s">
        <v>66</v>
      </c>
      <c r="Z93" s="1" t="b">
        <v>1</v>
      </c>
      <c r="AA93" s="1">
        <v>650.0</v>
      </c>
      <c r="AB93" s="1" t="b">
        <v>0</v>
      </c>
      <c r="AC93" s="1">
        <v>72.0</v>
      </c>
      <c r="AD93" s="1">
        <v>8.0</v>
      </c>
      <c r="AE93" s="8">
        <v>46156.0</v>
      </c>
      <c r="AF93" s="1" t="s">
        <v>67</v>
      </c>
      <c r="AG93" s="1" t="s">
        <v>68</v>
      </c>
      <c r="AH93" s="1" t="s">
        <v>68</v>
      </c>
      <c r="AI93" s="1" t="s">
        <v>70</v>
      </c>
      <c r="AJ93" s="1">
        <v>85253.0</v>
      </c>
      <c r="AK93" s="1" t="s">
        <v>71</v>
      </c>
      <c r="AL93" s="1" t="s">
        <v>72</v>
      </c>
      <c r="AM93" s="9" t="s">
        <v>532</v>
      </c>
      <c r="AN93" s="1" t="s">
        <v>533</v>
      </c>
      <c r="AO93" s="1">
        <v>4422896.0</v>
      </c>
      <c r="AP93" s="1">
        <v>33.5678</v>
      </c>
      <c r="AQ93" s="1">
        <v>-111.9642</v>
      </c>
      <c r="AR93" s="1">
        <v>47.11</v>
      </c>
      <c r="AS93" s="10">
        <f t="shared" ref="AS93:AS94" si="21">AVERAGE($C$2:$C$596)</f>
        <v>206948.5429</v>
      </c>
      <c r="AT93" s="1">
        <v>1.21</v>
      </c>
      <c r="AU93" s="10">
        <f>IFERROR(($AS207-C207)/$AS207,0)</f>
        <v>0</v>
      </c>
      <c r="AV93" s="10">
        <f>$AS207-C207</f>
        <v>0</v>
      </c>
      <c r="AW93" s="1">
        <v>90028.0</v>
      </c>
      <c r="AX93" s="1" t="s">
        <v>533</v>
      </c>
      <c r="AZ93" s="9" t="s">
        <v>534</v>
      </c>
      <c r="BA93" s="1" t="s">
        <v>535</v>
      </c>
      <c r="BE93" s="1" t="s">
        <v>330</v>
      </c>
    </row>
    <row r="94">
      <c r="A94" s="1">
        <v>900222.0</v>
      </c>
      <c r="C94" s="1">
        <v>277563.0</v>
      </c>
      <c r="D94" s="1">
        <v>318453.0</v>
      </c>
      <c r="E94" s="1">
        <v>1516.74</v>
      </c>
      <c r="F94" s="1">
        <v>57.55</v>
      </c>
      <c r="G94" s="1">
        <v>318.0</v>
      </c>
      <c r="H94" s="1">
        <v>7.0</v>
      </c>
      <c r="I94" s="1">
        <v>3.0</v>
      </c>
      <c r="J94" s="1">
        <v>16.0</v>
      </c>
      <c r="K94" s="1" t="b">
        <v>1</v>
      </c>
      <c r="L94" s="1" t="b">
        <v>0</v>
      </c>
      <c r="M94" s="1" t="b">
        <v>1</v>
      </c>
      <c r="N94" s="1" t="b">
        <v>1</v>
      </c>
      <c r="O94" s="1" t="b">
        <v>1</v>
      </c>
      <c r="P94" s="1" t="b">
        <v>1</v>
      </c>
      <c r="Q94" s="1" t="b">
        <v>1</v>
      </c>
      <c r="R94" s="1" t="s">
        <v>63</v>
      </c>
      <c r="S94" s="1" t="s">
        <v>64</v>
      </c>
      <c r="T94" s="1" t="s">
        <v>65</v>
      </c>
      <c r="U94" s="1">
        <v>5.0</v>
      </c>
      <c r="V94" s="1">
        <v>50.0</v>
      </c>
      <c r="W94" s="1">
        <v>3.0</v>
      </c>
      <c r="X94" s="1">
        <v>1.0</v>
      </c>
      <c r="Y94" s="1" t="s">
        <v>66</v>
      </c>
      <c r="Z94" s="1" t="b">
        <v>1</v>
      </c>
      <c r="AA94" s="1">
        <v>489.0</v>
      </c>
      <c r="AB94" s="1" t="b">
        <v>0</v>
      </c>
      <c r="AC94" s="1">
        <v>183.0</v>
      </c>
      <c r="AD94" s="1">
        <v>53.0</v>
      </c>
      <c r="AE94" s="8">
        <v>46155.0</v>
      </c>
      <c r="AF94" s="1" t="s">
        <v>67</v>
      </c>
      <c r="AG94" s="1" t="s">
        <v>68</v>
      </c>
      <c r="AH94" s="1" t="s">
        <v>69</v>
      </c>
      <c r="AI94" s="1" t="s">
        <v>70</v>
      </c>
      <c r="AJ94" s="1">
        <v>85254.0</v>
      </c>
      <c r="AK94" s="1" t="s">
        <v>71</v>
      </c>
      <c r="AL94" s="1" t="s">
        <v>72</v>
      </c>
      <c r="AM94" s="9" t="s">
        <v>536</v>
      </c>
      <c r="AN94" s="1" t="s">
        <v>537</v>
      </c>
      <c r="AO94" s="1">
        <v>4633510.0</v>
      </c>
      <c r="AP94" s="1">
        <v>33.6142</v>
      </c>
      <c r="AQ94" s="1">
        <v>-111.95769</v>
      </c>
      <c r="AR94" s="1">
        <v>53.1</v>
      </c>
      <c r="AS94" s="10">
        <f t="shared" si="21"/>
        <v>206948.5429</v>
      </c>
      <c r="AT94" s="1">
        <v>4.45</v>
      </c>
      <c r="AU94" s="10">
        <f>IFERROR(($AS67-C67)/$AS67,0)</f>
        <v>-0.4827840572</v>
      </c>
      <c r="AV94" s="10">
        <f>$AS67-C67</f>
        <v>-99911.45714</v>
      </c>
      <c r="AW94" s="1">
        <v>40890.0</v>
      </c>
      <c r="AX94" s="1" t="s">
        <v>537</v>
      </c>
      <c r="AZ94" s="9" t="s">
        <v>538</v>
      </c>
      <c r="BA94" s="1" t="s">
        <v>539</v>
      </c>
      <c r="BE94" s="1" t="s">
        <v>330</v>
      </c>
    </row>
    <row r="95">
      <c r="A95" s="1">
        <v>3.80749045E8</v>
      </c>
      <c r="C95" s="1">
        <v>155196.0</v>
      </c>
      <c r="D95" s="1">
        <v>166896.0</v>
      </c>
      <c r="E95" s="1">
        <v>708.66</v>
      </c>
      <c r="F95" s="1">
        <v>64.22</v>
      </c>
      <c r="G95" s="1">
        <v>341.0</v>
      </c>
      <c r="H95" s="1">
        <v>5.0</v>
      </c>
      <c r="I95" s="1">
        <v>4.0</v>
      </c>
      <c r="J95" s="1">
        <v>16.0</v>
      </c>
      <c r="K95" s="1" t="b">
        <v>1</v>
      </c>
      <c r="L95" s="1" t="b">
        <v>1</v>
      </c>
      <c r="M95" s="1" t="b">
        <v>1</v>
      </c>
      <c r="N95" s="1" t="b">
        <v>1</v>
      </c>
      <c r="O95" s="1" t="b">
        <v>1</v>
      </c>
      <c r="P95" s="1" t="b">
        <v>1</v>
      </c>
      <c r="Q95" s="1" t="b">
        <v>1</v>
      </c>
      <c r="R95" s="1" t="s">
        <v>63</v>
      </c>
      <c r="S95" s="1" t="s">
        <v>64</v>
      </c>
      <c r="T95" s="1" t="s">
        <v>65</v>
      </c>
      <c r="U95" s="1">
        <v>5.0</v>
      </c>
      <c r="V95" s="1">
        <v>42.0</v>
      </c>
      <c r="W95" s="1">
        <v>5.0</v>
      </c>
      <c r="X95" s="7">
        <v>46058.0</v>
      </c>
      <c r="Y95" s="1" t="s">
        <v>66</v>
      </c>
      <c r="Z95" s="1" t="b">
        <v>1</v>
      </c>
      <c r="AA95" s="1">
        <v>365.0</v>
      </c>
      <c r="AB95" s="1" t="b">
        <v>0</v>
      </c>
      <c r="AC95" s="1">
        <v>219.0</v>
      </c>
      <c r="AD95" s="1">
        <v>62.0</v>
      </c>
      <c r="AE95" s="8">
        <v>46153.0</v>
      </c>
      <c r="AF95" s="1" t="s">
        <v>484</v>
      </c>
      <c r="AG95" s="1" t="s">
        <v>485</v>
      </c>
      <c r="AH95" s="1" t="s">
        <v>486</v>
      </c>
      <c r="AI95" s="1" t="s">
        <v>487</v>
      </c>
      <c r="AJ95" s="1">
        <v>29687.0</v>
      </c>
      <c r="AK95" s="1" t="s">
        <v>71</v>
      </c>
      <c r="AL95" s="1" t="s">
        <v>167</v>
      </c>
      <c r="AM95" s="9" t="s">
        <v>540</v>
      </c>
      <c r="AN95" s="1" t="s">
        <v>541</v>
      </c>
      <c r="AO95" s="1">
        <v>4427031.0</v>
      </c>
      <c r="AP95" s="1">
        <v>34.9353</v>
      </c>
      <c r="AQ95" s="1">
        <v>-82.2874</v>
      </c>
      <c r="AR95" s="1">
        <v>64.22</v>
      </c>
      <c r="AS95" s="10">
        <f>AVERAGE($C$2:$C$67)</f>
        <v>220080.3636</v>
      </c>
      <c r="AT95" s="1">
        <v>0.0</v>
      </c>
      <c r="AU95" s="10">
        <f>IFERROR(($AS7-C7)/$AS7,0)</f>
        <v>-0.3610533136</v>
      </c>
      <c r="AV95" s="10">
        <f>$AS7-C7</f>
        <v>-74719.45714</v>
      </c>
      <c r="AW95" s="1">
        <v>11700.0</v>
      </c>
      <c r="AX95" s="1" t="s">
        <v>541</v>
      </c>
      <c r="AZ95" s="9" t="s">
        <v>542</v>
      </c>
      <c r="BA95" s="1" t="s">
        <v>543</v>
      </c>
      <c r="BE95" s="1" t="s">
        <v>330</v>
      </c>
    </row>
    <row r="96">
      <c r="A96" s="1">
        <v>4.28903564E8</v>
      </c>
      <c r="C96" s="1">
        <v>321758.0</v>
      </c>
      <c r="D96" s="1">
        <v>364836.0</v>
      </c>
      <c r="E96" s="1">
        <v>1462.54</v>
      </c>
      <c r="F96" s="1">
        <v>70.97</v>
      </c>
      <c r="G96" s="1">
        <v>310.0</v>
      </c>
      <c r="H96" s="1">
        <v>8.0</v>
      </c>
      <c r="I96" s="1">
        <v>4.0</v>
      </c>
      <c r="J96" s="1">
        <v>16.0</v>
      </c>
      <c r="K96" s="1" t="b">
        <v>1</v>
      </c>
      <c r="L96" s="1" t="b">
        <v>0</v>
      </c>
      <c r="M96" s="1" t="b">
        <v>1</v>
      </c>
      <c r="N96" s="1" t="b">
        <v>1</v>
      </c>
      <c r="O96" s="1" t="b">
        <v>0</v>
      </c>
      <c r="P96" s="1" t="b">
        <v>0</v>
      </c>
      <c r="Q96" s="1" t="b">
        <v>0</v>
      </c>
      <c r="R96" s="1" t="s">
        <v>63</v>
      </c>
      <c r="S96" s="1" t="s">
        <v>64</v>
      </c>
      <c r="T96" s="1" t="s">
        <v>65</v>
      </c>
      <c r="U96" s="1">
        <v>5.0</v>
      </c>
      <c r="V96" s="1">
        <v>13.0</v>
      </c>
      <c r="W96" s="1">
        <v>1.0</v>
      </c>
      <c r="X96" s="7">
        <v>46193.0</v>
      </c>
      <c r="Y96" s="1" t="s">
        <v>66</v>
      </c>
      <c r="Z96" s="1" t="b">
        <v>1</v>
      </c>
      <c r="AA96" s="1">
        <v>515.0</v>
      </c>
      <c r="AB96" s="1" t="b">
        <v>1</v>
      </c>
      <c r="AC96" s="1">
        <v>220.0</v>
      </c>
      <c r="AD96" s="1">
        <v>89.0</v>
      </c>
      <c r="AE96" s="8">
        <v>46153.0</v>
      </c>
      <c r="AF96" s="1" t="s">
        <v>166</v>
      </c>
      <c r="AG96" s="1" t="s">
        <v>166</v>
      </c>
      <c r="AH96" s="1" t="s">
        <v>544</v>
      </c>
      <c r="AI96" s="1" t="s">
        <v>70</v>
      </c>
      <c r="AJ96" s="1">
        <v>86046.0</v>
      </c>
      <c r="AK96" s="1" t="s">
        <v>71</v>
      </c>
      <c r="AL96" s="1" t="s">
        <v>167</v>
      </c>
      <c r="AM96" s="9" t="s">
        <v>545</v>
      </c>
      <c r="AN96" s="1" t="s">
        <v>546</v>
      </c>
      <c r="AO96" s="1">
        <v>4472314.0</v>
      </c>
      <c r="AP96" s="1">
        <v>35.6485</v>
      </c>
      <c r="AQ96" s="1">
        <v>-112.1343</v>
      </c>
      <c r="AR96" s="1">
        <v>40.01</v>
      </c>
      <c r="AS96" s="10">
        <f t="shared" ref="AS96:AS97" si="22">AVERAGE($C$2:$C$130)</f>
        <v>206948.5429</v>
      </c>
      <c r="AT96" s="1">
        <v>30.96</v>
      </c>
      <c r="AU96" s="10">
        <f>IFERROR(($AS7-C7)/$AS7,0)</f>
        <v>-0.3610533136</v>
      </c>
      <c r="AV96" s="10">
        <f>$AS7-C7</f>
        <v>-74719.45714</v>
      </c>
      <c r="AW96" s="1">
        <v>43078.0</v>
      </c>
      <c r="AX96" s="1" t="s">
        <v>546</v>
      </c>
      <c r="AZ96" s="9" t="s">
        <v>547</v>
      </c>
      <c r="BA96" s="1" t="s">
        <v>548</v>
      </c>
      <c r="BE96" s="1" t="s">
        <v>330</v>
      </c>
    </row>
    <row r="97">
      <c r="A97" s="1">
        <v>5.47587646E8</v>
      </c>
      <c r="C97" s="1">
        <v>111437.0</v>
      </c>
      <c r="D97" s="1">
        <v>125589.0</v>
      </c>
      <c r="E97" s="1">
        <v>1311.02</v>
      </c>
      <c r="F97" s="1">
        <v>26.4</v>
      </c>
      <c r="G97" s="1">
        <v>330.0</v>
      </c>
      <c r="H97" s="1">
        <v>5.0</v>
      </c>
      <c r="I97" s="1">
        <v>4.0</v>
      </c>
      <c r="J97" s="1">
        <v>16.0</v>
      </c>
      <c r="K97" s="1" t="b">
        <v>1</v>
      </c>
      <c r="L97" s="1" t="b">
        <v>0</v>
      </c>
      <c r="M97" s="1" t="b">
        <v>1</v>
      </c>
      <c r="N97" s="1" t="b">
        <v>1</v>
      </c>
      <c r="O97" s="1" t="b">
        <v>1</v>
      </c>
      <c r="P97" s="1" t="b">
        <v>1</v>
      </c>
      <c r="Q97" s="1" t="b">
        <v>0</v>
      </c>
      <c r="R97" s="1" t="s">
        <v>63</v>
      </c>
      <c r="S97" s="1" t="s">
        <v>64</v>
      </c>
      <c r="T97" s="1" t="s">
        <v>65</v>
      </c>
      <c r="U97" s="1">
        <v>4.9</v>
      </c>
      <c r="V97" s="1">
        <v>18.0</v>
      </c>
      <c r="W97" s="1">
        <v>2.0</v>
      </c>
      <c r="X97" s="7">
        <v>46058.0</v>
      </c>
      <c r="Y97" s="1" t="s">
        <v>66</v>
      </c>
      <c r="Z97" s="1" t="b">
        <v>0</v>
      </c>
      <c r="AA97" s="1">
        <v>499.0</v>
      </c>
      <c r="AB97" s="1" t="b">
        <v>0</v>
      </c>
      <c r="AC97" s="1">
        <v>85.0</v>
      </c>
      <c r="AD97" s="1">
        <v>28.0</v>
      </c>
      <c r="AE97" s="8">
        <v>46157.0</v>
      </c>
      <c r="AF97" s="1" t="s">
        <v>166</v>
      </c>
      <c r="AG97" s="1" t="s">
        <v>166</v>
      </c>
      <c r="AH97" s="1" t="s">
        <v>166</v>
      </c>
      <c r="AI97" s="1" t="s">
        <v>70</v>
      </c>
      <c r="AJ97" s="1">
        <v>86004.0</v>
      </c>
      <c r="AK97" s="1" t="s">
        <v>71</v>
      </c>
      <c r="AL97" s="1" t="s">
        <v>167</v>
      </c>
      <c r="AM97" s="9" t="s">
        <v>549</v>
      </c>
      <c r="AN97" s="1" t="s">
        <v>550</v>
      </c>
      <c r="AO97" s="1">
        <v>4505659.0</v>
      </c>
      <c r="AP97" s="1">
        <v>35.19684</v>
      </c>
      <c r="AQ97" s="1">
        <v>-111.57844</v>
      </c>
      <c r="AR97" s="1">
        <v>53.54</v>
      </c>
      <c r="AS97" s="10">
        <f t="shared" si="22"/>
        <v>206948.5429</v>
      </c>
      <c r="AT97" s="1">
        <v>-27.14</v>
      </c>
      <c r="AU97" s="10">
        <f>IFERROR(($AS43-C43)/$AS43,0)</f>
        <v>0.1145914947</v>
      </c>
      <c r="AV97" s="10">
        <f>$AS43-C43</f>
        <v>23714.54286</v>
      </c>
      <c r="AW97" s="1">
        <v>14152.0</v>
      </c>
      <c r="AX97" s="1" t="s">
        <v>550</v>
      </c>
      <c r="AZ97" s="9" t="s">
        <v>551</v>
      </c>
      <c r="BA97" s="1" t="s">
        <v>552</v>
      </c>
      <c r="BE97" s="1" t="s">
        <v>330</v>
      </c>
    </row>
    <row r="98">
      <c r="A98" s="1">
        <v>9.8537285E7</v>
      </c>
      <c r="C98" s="1">
        <v>118234.0</v>
      </c>
      <c r="D98" s="1">
        <v>189707.0</v>
      </c>
      <c r="E98" s="1">
        <v>923.7</v>
      </c>
      <c r="F98" s="1">
        <v>54.7</v>
      </c>
      <c r="G98" s="1">
        <v>255.0</v>
      </c>
      <c r="H98" s="1">
        <v>8.0</v>
      </c>
      <c r="I98" s="1">
        <v>6.0</v>
      </c>
      <c r="J98" s="1">
        <v>16.0</v>
      </c>
      <c r="K98" s="1" t="b">
        <v>1</v>
      </c>
      <c r="L98" s="1" t="b">
        <v>0</v>
      </c>
      <c r="M98" s="1" t="b">
        <v>1</v>
      </c>
      <c r="N98" s="1" t="b">
        <v>1</v>
      </c>
      <c r="O98" s="1" t="b">
        <v>1</v>
      </c>
      <c r="P98" s="1" t="b">
        <v>0</v>
      </c>
      <c r="Q98" s="1" t="b">
        <v>1</v>
      </c>
      <c r="R98" s="1" t="s">
        <v>63</v>
      </c>
      <c r="S98" s="1" t="s">
        <v>64</v>
      </c>
      <c r="T98" s="1" t="s">
        <v>65</v>
      </c>
      <c r="U98" s="1">
        <v>5.0</v>
      </c>
      <c r="V98" s="1">
        <v>32.0</v>
      </c>
      <c r="W98" s="1">
        <v>2.0</v>
      </c>
      <c r="X98" s="7">
        <v>46193.0</v>
      </c>
      <c r="Y98" s="1" t="s">
        <v>66</v>
      </c>
      <c r="Z98" s="1" t="b">
        <v>1</v>
      </c>
      <c r="AA98" s="1">
        <v>650.0</v>
      </c>
      <c r="AB98" s="1" t="b">
        <v>1</v>
      </c>
      <c r="AC98" s="1">
        <v>128.0</v>
      </c>
      <c r="AD98" s="1">
        <v>37.0</v>
      </c>
      <c r="AE98" s="8">
        <v>46158.0</v>
      </c>
      <c r="AF98" s="1" t="s">
        <v>268</v>
      </c>
      <c r="AG98" s="1" t="s">
        <v>347</v>
      </c>
      <c r="AH98" s="1" t="s">
        <v>347</v>
      </c>
      <c r="AI98" s="1" t="s">
        <v>70</v>
      </c>
      <c r="AJ98" s="1">
        <v>86040.0</v>
      </c>
      <c r="AK98" s="1" t="s">
        <v>71</v>
      </c>
      <c r="AL98" s="1" t="s">
        <v>123</v>
      </c>
      <c r="AM98" s="9" t="s">
        <v>553</v>
      </c>
      <c r="AN98" s="1" t="s">
        <v>554</v>
      </c>
      <c r="AO98" s="1">
        <v>4542410.0</v>
      </c>
      <c r="AP98" s="1">
        <v>36.9991</v>
      </c>
      <c r="AQ98" s="1">
        <v>-111.5548</v>
      </c>
      <c r="AR98" s="1">
        <v>50.34</v>
      </c>
      <c r="AS98" s="10">
        <f>AVERAGE($C$2:$C$179)</f>
        <v>206948.5429</v>
      </c>
      <c r="AT98" s="1">
        <v>4.36</v>
      </c>
      <c r="AU98" s="10">
        <f>IFERROR(($AS11-C11)/$AS11,0)</f>
        <v>0.4581503283</v>
      </c>
      <c r="AV98" s="10">
        <f>$AS11-C11</f>
        <v>94813.54286</v>
      </c>
      <c r="AW98" s="1">
        <v>71473.0</v>
      </c>
      <c r="AX98" s="1" t="s">
        <v>554</v>
      </c>
      <c r="AZ98" s="9" t="s">
        <v>555</v>
      </c>
      <c r="BA98" s="1" t="s">
        <v>556</v>
      </c>
      <c r="BE98" s="1" t="s">
        <v>330</v>
      </c>
    </row>
    <row r="99">
      <c r="A99" s="1">
        <v>4.86912742E8</v>
      </c>
      <c r="C99" s="1">
        <v>144048.0</v>
      </c>
      <c r="D99" s="1">
        <v>151839.0</v>
      </c>
      <c r="E99" s="1">
        <v>1200.4</v>
      </c>
      <c r="F99" s="1">
        <v>45.98</v>
      </c>
      <c r="G99" s="1">
        <v>289.0</v>
      </c>
      <c r="H99" s="1">
        <v>6.0</v>
      </c>
      <c r="I99" s="1">
        <v>4.0</v>
      </c>
      <c r="J99" s="1">
        <v>16.0</v>
      </c>
      <c r="K99" s="1" t="b">
        <v>1</v>
      </c>
      <c r="L99" s="1" t="b">
        <v>0</v>
      </c>
      <c r="M99" s="1" t="b">
        <v>1</v>
      </c>
      <c r="N99" s="1" t="b">
        <v>1</v>
      </c>
      <c r="O99" s="1" t="b">
        <v>1</v>
      </c>
      <c r="P99" s="1" t="b">
        <v>1</v>
      </c>
      <c r="Q99" s="1" t="b">
        <v>0</v>
      </c>
      <c r="R99" s="1" t="s">
        <v>63</v>
      </c>
      <c r="S99" s="1" t="s">
        <v>64</v>
      </c>
      <c r="T99" s="1" t="s">
        <v>65</v>
      </c>
      <c r="U99" s="1">
        <v>5.0</v>
      </c>
      <c r="V99" s="1">
        <v>32.0</v>
      </c>
      <c r="W99" s="1">
        <v>2.0</v>
      </c>
      <c r="X99" s="7">
        <v>46058.0</v>
      </c>
      <c r="Y99" s="1" t="s">
        <v>66</v>
      </c>
      <c r="Z99" s="1" t="b">
        <v>1</v>
      </c>
      <c r="AA99" s="1">
        <v>400.0</v>
      </c>
      <c r="AB99" s="1" t="b">
        <v>0</v>
      </c>
      <c r="AC99" s="1">
        <v>120.0</v>
      </c>
      <c r="AD99" s="1">
        <v>43.0</v>
      </c>
      <c r="AE99" s="8">
        <v>46157.0</v>
      </c>
      <c r="AF99" s="1" t="s">
        <v>166</v>
      </c>
      <c r="AG99" s="1" t="s">
        <v>166</v>
      </c>
      <c r="AH99" s="1" t="s">
        <v>166</v>
      </c>
      <c r="AI99" s="1" t="s">
        <v>70</v>
      </c>
      <c r="AJ99" s="1">
        <v>86001.0</v>
      </c>
      <c r="AK99" s="1" t="s">
        <v>71</v>
      </c>
      <c r="AL99" s="1" t="s">
        <v>167</v>
      </c>
      <c r="AM99" s="9" t="s">
        <v>557</v>
      </c>
      <c r="AN99" s="1" t="s">
        <v>558</v>
      </c>
      <c r="AO99" s="1">
        <v>4955927.0</v>
      </c>
      <c r="AP99" s="1">
        <v>35.1768</v>
      </c>
      <c r="AQ99" s="1">
        <v>-111.71556</v>
      </c>
      <c r="AR99" s="1">
        <v>43.98</v>
      </c>
      <c r="AS99" s="10">
        <f>AVERAGE($C$2:$C$130)</f>
        <v>206948.5429</v>
      </c>
      <c r="AT99" s="1">
        <v>2.0</v>
      </c>
      <c r="AU99" s="10">
        <f>IFERROR(($AS23-C23)/$AS23,0)</f>
        <v>-0.6869120951</v>
      </c>
      <c r="AV99" s="10">
        <f>$AS23-C23</f>
        <v>-142155.4571</v>
      </c>
      <c r="AW99" s="1">
        <v>7791.0</v>
      </c>
      <c r="AX99" s="1" t="s">
        <v>558</v>
      </c>
      <c r="AZ99" s="9" t="s">
        <v>559</v>
      </c>
      <c r="BA99" s="1" t="s">
        <v>560</v>
      </c>
      <c r="BE99" s="1" t="s">
        <v>330</v>
      </c>
    </row>
    <row r="100">
      <c r="A100" s="1">
        <v>3.92695505E8</v>
      </c>
      <c r="C100" s="1">
        <v>502848.0</v>
      </c>
      <c r="D100" s="1">
        <v>553242.0</v>
      </c>
      <c r="E100" s="1">
        <v>3104.0</v>
      </c>
      <c r="F100" s="1">
        <v>92.57</v>
      </c>
      <c r="G100" s="1">
        <v>195.0</v>
      </c>
      <c r="H100" s="1">
        <v>5.0</v>
      </c>
      <c r="I100" s="1">
        <v>5.0</v>
      </c>
      <c r="J100" s="1">
        <v>12.0</v>
      </c>
      <c r="K100" s="1" t="b">
        <v>1</v>
      </c>
      <c r="L100" s="1" t="b">
        <v>0</v>
      </c>
      <c r="M100" s="1" t="b">
        <v>1</v>
      </c>
      <c r="N100" s="1" t="b">
        <v>1</v>
      </c>
      <c r="O100" s="1" t="b">
        <v>1</v>
      </c>
      <c r="P100" s="1" t="b">
        <v>0</v>
      </c>
      <c r="Q100" s="1" t="b">
        <v>1</v>
      </c>
      <c r="R100" s="1" t="s">
        <v>63</v>
      </c>
      <c r="S100" s="1" t="s">
        <v>64</v>
      </c>
      <c r="T100" s="1" t="s">
        <v>65</v>
      </c>
      <c r="U100" s="1">
        <v>5.0</v>
      </c>
      <c r="V100" s="1">
        <v>2.0</v>
      </c>
      <c r="W100" s="1">
        <v>3.0</v>
      </c>
      <c r="X100" s="7">
        <v>46058.0</v>
      </c>
      <c r="Y100" s="1" t="s">
        <v>66</v>
      </c>
      <c r="Z100" s="1" t="b">
        <v>0</v>
      </c>
      <c r="AA100" s="1">
        <v>0.0</v>
      </c>
      <c r="AB100" s="1" t="b">
        <v>0</v>
      </c>
      <c r="AC100" s="1">
        <v>162.0</v>
      </c>
      <c r="AD100" s="1">
        <v>4.0</v>
      </c>
      <c r="AE100" s="8">
        <v>46156.0</v>
      </c>
      <c r="AF100" s="1" t="s">
        <v>67</v>
      </c>
      <c r="AG100" s="1" t="s">
        <v>68</v>
      </c>
      <c r="AH100" s="1" t="s">
        <v>68</v>
      </c>
      <c r="AI100" s="1" t="s">
        <v>70</v>
      </c>
      <c r="AJ100" s="1">
        <v>85253.0</v>
      </c>
      <c r="AK100" s="1" t="s">
        <v>71</v>
      </c>
      <c r="AL100" s="1" t="s">
        <v>72</v>
      </c>
      <c r="AM100" s="9" t="s">
        <v>561</v>
      </c>
      <c r="AN100" s="1" t="s">
        <v>562</v>
      </c>
      <c r="AP100" s="1">
        <v>33.58004</v>
      </c>
      <c r="AQ100" s="1">
        <v>-111.95796</v>
      </c>
      <c r="AR100" s="1">
        <v>52.34</v>
      </c>
      <c r="AS100" s="10">
        <f t="shared" ref="AS100:AS101" si="23">AVERAGE($C$2:$C$596)</f>
        <v>206948.5429</v>
      </c>
      <c r="AT100" s="1">
        <v>40.23</v>
      </c>
      <c r="AU100" s="10">
        <f>IFERROR(($AS10-C10)/$AS10,0)</f>
        <v>-1.148814357</v>
      </c>
      <c r="AV100" s="10">
        <f>$AS10-C10</f>
        <v>-237745.4571</v>
      </c>
      <c r="AW100" s="1">
        <v>50394.0</v>
      </c>
      <c r="AX100" s="1" t="s">
        <v>562</v>
      </c>
      <c r="AZ100" s="9" t="s">
        <v>563</v>
      </c>
      <c r="BA100" s="1" t="s">
        <v>564</v>
      </c>
      <c r="BE100" s="1" t="s">
        <v>330</v>
      </c>
    </row>
    <row r="101">
      <c r="A101" s="1">
        <v>7.27918192E8</v>
      </c>
      <c r="C101" s="1">
        <v>123494.0</v>
      </c>
      <c r="D101" s="1">
        <v>147161.0</v>
      </c>
      <c r="E101" s="1">
        <v>1789.77</v>
      </c>
      <c r="F101" s="1">
        <v>56.1</v>
      </c>
      <c r="G101" s="1">
        <v>160.0</v>
      </c>
      <c r="H101" s="1">
        <v>10.0</v>
      </c>
      <c r="I101" s="1">
        <v>10.0</v>
      </c>
      <c r="J101" s="1">
        <v>16.0</v>
      </c>
      <c r="K101" s="1" t="b">
        <v>1</v>
      </c>
      <c r="L101" s="1" t="b">
        <v>0</v>
      </c>
      <c r="M101" s="1" t="b">
        <v>0</v>
      </c>
      <c r="N101" s="1" t="b">
        <v>1</v>
      </c>
      <c r="O101" s="1" t="b">
        <v>1</v>
      </c>
      <c r="P101" s="1" t="b">
        <v>1</v>
      </c>
      <c r="Q101" s="1" t="b">
        <v>1</v>
      </c>
      <c r="R101" s="1" t="s">
        <v>63</v>
      </c>
      <c r="S101" s="1" t="s">
        <v>64</v>
      </c>
      <c r="T101" s="1" t="s">
        <v>65</v>
      </c>
      <c r="U101" s="1">
        <v>5.0</v>
      </c>
      <c r="V101" s="1">
        <v>5.0</v>
      </c>
      <c r="W101" s="1">
        <v>2.0</v>
      </c>
      <c r="X101" s="1">
        <v>1.0</v>
      </c>
      <c r="Y101" s="1" t="s">
        <v>66</v>
      </c>
      <c r="Z101" s="1" t="b">
        <v>0</v>
      </c>
      <c r="AA101" s="1">
        <v>0.0</v>
      </c>
      <c r="AB101" s="1" t="b">
        <v>0</v>
      </c>
      <c r="AC101" s="1">
        <v>69.0</v>
      </c>
      <c r="AD101" s="1">
        <v>19.0</v>
      </c>
      <c r="AE101" s="8">
        <v>46156.0</v>
      </c>
      <c r="AF101" s="1" t="s">
        <v>67</v>
      </c>
      <c r="AG101" s="1" t="s">
        <v>68</v>
      </c>
      <c r="AH101" s="1" t="s">
        <v>68</v>
      </c>
      <c r="AI101" s="1" t="s">
        <v>70</v>
      </c>
      <c r="AJ101" s="1">
        <v>85253.0</v>
      </c>
      <c r="AK101" s="1" t="s">
        <v>71</v>
      </c>
      <c r="AL101" s="1" t="s">
        <v>72</v>
      </c>
      <c r="AM101" s="9" t="s">
        <v>565</v>
      </c>
      <c r="AN101" s="1" t="s">
        <v>566</v>
      </c>
      <c r="AO101" s="1">
        <v>4909351.0</v>
      </c>
      <c r="AP101" s="1">
        <v>33.525</v>
      </c>
      <c r="AQ101" s="1">
        <v>-111.9677</v>
      </c>
      <c r="AR101" s="1">
        <v>53.1</v>
      </c>
      <c r="AS101" s="10">
        <f t="shared" si="23"/>
        <v>206948.5429</v>
      </c>
      <c r="AT101" s="1">
        <v>3.0</v>
      </c>
      <c r="AU101" s="10">
        <f>IFERROR(($AS210-C210)/$AS210,0)</f>
        <v>0</v>
      </c>
      <c r="AV101" s="10">
        <f>$AS210-C210</f>
        <v>0</v>
      </c>
      <c r="AW101" s="1">
        <v>23667.0</v>
      </c>
      <c r="AX101" s="1" t="s">
        <v>566</v>
      </c>
      <c r="AZ101" s="9" t="s">
        <v>567</v>
      </c>
      <c r="BA101" s="1" t="s">
        <v>568</v>
      </c>
      <c r="BE101" s="1" t="s">
        <v>330</v>
      </c>
    </row>
    <row r="102">
      <c r="A102" s="1">
        <v>5.74828325E8</v>
      </c>
      <c r="C102" s="1">
        <v>122503.0</v>
      </c>
      <c r="D102" s="1">
        <v>149694.0</v>
      </c>
      <c r="E102" s="1">
        <v>1346.19</v>
      </c>
      <c r="F102" s="1">
        <v>65.0</v>
      </c>
      <c r="G102" s="1">
        <v>153.0</v>
      </c>
      <c r="H102" s="1">
        <v>6.0</v>
      </c>
      <c r="I102" s="1">
        <v>5.0</v>
      </c>
      <c r="J102" s="1">
        <v>16.0</v>
      </c>
      <c r="K102" s="1" t="b">
        <v>1</v>
      </c>
      <c r="L102" s="1" t="b">
        <v>0</v>
      </c>
      <c r="M102" s="1" t="b">
        <v>1</v>
      </c>
      <c r="N102" s="1" t="b">
        <v>1</v>
      </c>
      <c r="O102" s="1" t="b">
        <v>1</v>
      </c>
      <c r="P102" s="1" t="b">
        <v>1</v>
      </c>
      <c r="Q102" s="1" t="b">
        <v>0</v>
      </c>
      <c r="R102" s="1" t="s">
        <v>63</v>
      </c>
      <c r="S102" s="1" t="s">
        <v>64</v>
      </c>
      <c r="T102" s="1" t="s">
        <v>65</v>
      </c>
      <c r="U102" s="1">
        <v>4.95</v>
      </c>
      <c r="V102" s="1">
        <v>30.0</v>
      </c>
      <c r="W102" s="1">
        <v>3.0</v>
      </c>
      <c r="X102" s="7">
        <v>46193.0</v>
      </c>
      <c r="Y102" s="1" t="s">
        <v>66</v>
      </c>
      <c r="Z102" s="1" t="b">
        <v>1</v>
      </c>
      <c r="AA102" s="1">
        <v>800.0</v>
      </c>
      <c r="AB102" s="1" t="b">
        <v>1</v>
      </c>
      <c r="AC102" s="1">
        <v>91.0</v>
      </c>
      <c r="AD102" s="1">
        <v>33.0</v>
      </c>
      <c r="AE102" s="8">
        <v>46155.0</v>
      </c>
      <c r="AF102" s="1" t="s">
        <v>166</v>
      </c>
      <c r="AG102" s="1" t="s">
        <v>166</v>
      </c>
      <c r="AH102" s="1" t="s">
        <v>166</v>
      </c>
      <c r="AI102" s="1" t="s">
        <v>70</v>
      </c>
      <c r="AJ102" s="1">
        <v>86004.0</v>
      </c>
      <c r="AK102" s="1" t="s">
        <v>71</v>
      </c>
      <c r="AL102" s="1" t="s">
        <v>167</v>
      </c>
      <c r="AM102" s="9" t="s">
        <v>569</v>
      </c>
      <c r="AN102" s="1" t="s">
        <v>570</v>
      </c>
      <c r="AO102" s="1">
        <v>4942254.0</v>
      </c>
      <c r="AP102" s="1">
        <v>35.24124</v>
      </c>
      <c r="AQ102" s="1">
        <v>-111.52753</v>
      </c>
      <c r="AR102" s="1">
        <v>43.98</v>
      </c>
      <c r="AS102" s="10">
        <f>AVERAGE($C$2:$C$130)</f>
        <v>206948.5429</v>
      </c>
      <c r="AT102" s="1">
        <v>21.02</v>
      </c>
      <c r="AU102" s="10">
        <f>IFERROR(($AS31-C31)/$AS31,0)</f>
        <v>-0.05417509584</v>
      </c>
      <c r="AV102" s="10">
        <f>$AS31-C31</f>
        <v>-11211.45714</v>
      </c>
      <c r="AW102" s="1">
        <v>27191.0</v>
      </c>
      <c r="AX102" s="1" t="s">
        <v>570</v>
      </c>
      <c r="AZ102" s="9" t="s">
        <v>571</v>
      </c>
      <c r="BA102" s="1" t="s">
        <v>572</v>
      </c>
      <c r="BE102" s="1" t="s">
        <v>330</v>
      </c>
    </row>
    <row r="103">
      <c r="A103" s="1">
        <v>1.58774122E8</v>
      </c>
      <c r="C103" s="1">
        <v>143604.0</v>
      </c>
      <c r="D103" s="1">
        <v>180215.0</v>
      </c>
      <c r="E103" s="1">
        <v>2175.82</v>
      </c>
      <c r="F103" s="1">
        <v>67.35</v>
      </c>
      <c r="G103" s="1">
        <v>121.0</v>
      </c>
      <c r="H103" s="1">
        <v>7.0</v>
      </c>
      <c r="I103" s="1">
        <v>6.0</v>
      </c>
      <c r="J103" s="1">
        <v>16.0</v>
      </c>
      <c r="K103" s="1" t="b">
        <v>1</v>
      </c>
      <c r="L103" s="1" t="b">
        <v>0</v>
      </c>
      <c r="M103" s="1" t="b">
        <v>1</v>
      </c>
      <c r="N103" s="1" t="b">
        <v>1</v>
      </c>
      <c r="O103" s="1" t="b">
        <v>1</v>
      </c>
      <c r="P103" s="1" t="b">
        <v>1</v>
      </c>
      <c r="Q103" s="1" t="b">
        <v>1</v>
      </c>
      <c r="R103" s="1" t="s">
        <v>63</v>
      </c>
      <c r="S103" s="1" t="s">
        <v>64</v>
      </c>
      <c r="T103" s="1" t="s">
        <v>65</v>
      </c>
      <c r="U103" s="1">
        <v>5.0</v>
      </c>
      <c r="V103" s="1">
        <v>17.0</v>
      </c>
      <c r="W103" s="1">
        <v>3.0</v>
      </c>
      <c r="X103" s="7">
        <v>46193.0</v>
      </c>
      <c r="Y103" s="1" t="s">
        <v>66</v>
      </c>
      <c r="Z103" s="1" t="b">
        <v>1</v>
      </c>
      <c r="AA103" s="1">
        <v>800.0</v>
      </c>
      <c r="AB103" s="1" t="b">
        <v>0</v>
      </c>
      <c r="AC103" s="1">
        <v>66.0</v>
      </c>
      <c r="AD103" s="1">
        <v>19.0</v>
      </c>
      <c r="AE103" s="8">
        <v>46157.0</v>
      </c>
      <c r="AF103" s="1" t="s">
        <v>67</v>
      </c>
      <c r="AG103" s="1" t="s">
        <v>68</v>
      </c>
      <c r="AH103" s="1" t="s">
        <v>69</v>
      </c>
      <c r="AI103" s="1" t="s">
        <v>70</v>
      </c>
      <c r="AJ103" s="1">
        <v>85254.0</v>
      </c>
      <c r="AK103" s="1" t="s">
        <v>71</v>
      </c>
      <c r="AL103" s="1" t="s">
        <v>72</v>
      </c>
      <c r="AM103" s="9" t="s">
        <v>573</v>
      </c>
      <c r="AN103" s="1" t="s">
        <v>574</v>
      </c>
      <c r="AO103" s="1">
        <v>5007675.0</v>
      </c>
      <c r="AP103" s="1">
        <v>33.5958331762</v>
      </c>
      <c r="AQ103" s="1">
        <v>-111.9414041497</v>
      </c>
      <c r="AR103" s="1">
        <v>53.1</v>
      </c>
      <c r="AS103" s="10">
        <f t="shared" ref="AS103:AS104" si="24">AVERAGE($C$2:$C$596)</f>
        <v>206948.5429</v>
      </c>
      <c r="AT103" s="1">
        <v>14.25</v>
      </c>
      <c r="AU103" s="10">
        <f>IFERROR(($AS178-C178)/$AS178,0)</f>
        <v>0</v>
      </c>
      <c r="AV103" s="10">
        <f>$AS178-C178</f>
        <v>0</v>
      </c>
      <c r="AW103" s="1">
        <v>36611.0</v>
      </c>
      <c r="AX103" s="1" t="s">
        <v>574</v>
      </c>
      <c r="AZ103" s="9" t="s">
        <v>575</v>
      </c>
      <c r="BA103" s="1" t="s">
        <v>576</v>
      </c>
      <c r="BE103" s="1" t="s">
        <v>330</v>
      </c>
    </row>
    <row r="104">
      <c r="A104" s="1">
        <v>6.84510645E8</v>
      </c>
      <c r="C104" s="1">
        <v>169479.0</v>
      </c>
      <c r="D104" s="1">
        <v>195401.0</v>
      </c>
      <c r="E104" s="1">
        <v>2824.65</v>
      </c>
      <c r="F104" s="1">
        <v>58.25</v>
      </c>
      <c r="G104" s="1">
        <v>134.0</v>
      </c>
      <c r="H104" s="1">
        <v>7.0</v>
      </c>
      <c r="I104" s="1">
        <v>7.0</v>
      </c>
      <c r="J104" s="1">
        <v>16.0</v>
      </c>
      <c r="K104" s="1" t="b">
        <v>1</v>
      </c>
      <c r="L104" s="1" t="b">
        <v>0</v>
      </c>
      <c r="M104" s="1" t="b">
        <v>1</v>
      </c>
      <c r="N104" s="1" t="b">
        <v>1</v>
      </c>
      <c r="O104" s="1" t="b">
        <v>1</v>
      </c>
      <c r="P104" s="1" t="b">
        <v>1</v>
      </c>
      <c r="Q104" s="1" t="b">
        <v>1</v>
      </c>
      <c r="R104" s="1" t="s">
        <v>63</v>
      </c>
      <c r="S104" s="1" t="s">
        <v>64</v>
      </c>
      <c r="T104" s="1" t="s">
        <v>65</v>
      </c>
      <c r="U104" s="1">
        <v>5.0</v>
      </c>
      <c r="V104" s="1">
        <v>16.0</v>
      </c>
      <c r="W104" s="1">
        <v>3.0</v>
      </c>
      <c r="X104" s="7">
        <v>46193.0</v>
      </c>
      <c r="Y104" s="1" t="s">
        <v>66</v>
      </c>
      <c r="Z104" s="1" t="b">
        <v>1</v>
      </c>
      <c r="AA104" s="1">
        <v>1100.0</v>
      </c>
      <c r="AB104" s="1" t="b">
        <v>0</v>
      </c>
      <c r="AC104" s="1">
        <v>60.0</v>
      </c>
      <c r="AD104" s="1">
        <v>14.0</v>
      </c>
      <c r="AE104" s="8">
        <v>46156.0</v>
      </c>
      <c r="AF104" s="1" t="s">
        <v>67</v>
      </c>
      <c r="AG104" s="1" t="s">
        <v>68</v>
      </c>
      <c r="AH104" s="1" t="s">
        <v>68</v>
      </c>
      <c r="AI104" s="1" t="s">
        <v>70</v>
      </c>
      <c r="AJ104" s="1">
        <v>85253.0</v>
      </c>
      <c r="AK104" s="1" t="s">
        <v>71</v>
      </c>
      <c r="AL104" s="1" t="s">
        <v>72</v>
      </c>
      <c r="AM104" s="9" t="s">
        <v>577</v>
      </c>
      <c r="AN104" s="1" t="s">
        <v>578</v>
      </c>
      <c r="AP104" s="1">
        <v>33.5307320304</v>
      </c>
      <c r="AQ104" s="1">
        <v>-111.9329402491</v>
      </c>
      <c r="AR104" s="1">
        <v>53.1</v>
      </c>
      <c r="AS104" s="10">
        <f t="shared" si="24"/>
        <v>206948.5429</v>
      </c>
      <c r="AT104" s="1">
        <v>5.15</v>
      </c>
      <c r="AU104" s="10">
        <f>IFERROR(($AS138-C138)/$AS138,0)</f>
        <v>0</v>
      </c>
      <c r="AV104" s="10">
        <f>$AS138-C138</f>
        <v>0</v>
      </c>
      <c r="AW104" s="1">
        <v>25922.0</v>
      </c>
      <c r="AX104" s="1" t="s">
        <v>578</v>
      </c>
      <c r="AZ104" s="9" t="s">
        <v>579</v>
      </c>
      <c r="BA104" s="1" t="s">
        <v>580</v>
      </c>
      <c r="BE104" s="1" t="s">
        <v>330</v>
      </c>
    </row>
    <row r="105">
      <c r="A105" s="1">
        <v>6.85246542E8</v>
      </c>
      <c r="C105" s="1">
        <v>104511.0</v>
      </c>
      <c r="D105" s="1">
        <v>133269.0</v>
      </c>
      <c r="E105" s="1">
        <v>2271.98</v>
      </c>
      <c r="F105" s="1">
        <v>65.71</v>
      </c>
      <c r="G105" s="1">
        <v>97.0</v>
      </c>
      <c r="H105" s="1">
        <v>7.0</v>
      </c>
      <c r="I105" s="1">
        <v>4.0</v>
      </c>
      <c r="J105" s="1">
        <v>16.0</v>
      </c>
      <c r="K105" s="1" t="b">
        <v>1</v>
      </c>
      <c r="L105" s="1" t="b">
        <v>0</v>
      </c>
      <c r="M105" s="1" t="b">
        <v>1</v>
      </c>
      <c r="N105" s="1" t="b">
        <v>1</v>
      </c>
      <c r="O105" s="1" t="b">
        <v>1</v>
      </c>
      <c r="P105" s="1" t="b">
        <v>0</v>
      </c>
      <c r="Q105" s="1" t="b">
        <v>1</v>
      </c>
      <c r="R105" s="1" t="s">
        <v>63</v>
      </c>
      <c r="S105" s="1" t="s">
        <v>64</v>
      </c>
      <c r="T105" s="1" t="s">
        <v>65</v>
      </c>
      <c r="U105" s="1">
        <v>5.0</v>
      </c>
      <c r="V105" s="1">
        <v>2.0</v>
      </c>
      <c r="W105" s="1">
        <v>2.0</v>
      </c>
      <c r="X105" s="7">
        <v>46058.0</v>
      </c>
      <c r="Y105" s="1" t="s">
        <v>66</v>
      </c>
      <c r="Z105" s="1" t="b">
        <v>1</v>
      </c>
      <c r="AA105" s="1">
        <v>650.0</v>
      </c>
      <c r="AB105" s="1" t="b">
        <v>0</v>
      </c>
      <c r="AC105" s="1">
        <v>46.0</v>
      </c>
      <c r="AD105" s="1">
        <v>12.0</v>
      </c>
      <c r="AE105" s="8">
        <v>46153.0</v>
      </c>
      <c r="AF105" s="1" t="s">
        <v>67</v>
      </c>
      <c r="AG105" s="1" t="s">
        <v>102</v>
      </c>
      <c r="AH105" s="1" t="s">
        <v>102</v>
      </c>
      <c r="AI105" s="1" t="s">
        <v>70</v>
      </c>
      <c r="AJ105" s="1">
        <v>85331.0</v>
      </c>
      <c r="AK105" s="1" t="s">
        <v>71</v>
      </c>
      <c r="AL105" s="1" t="s">
        <v>72</v>
      </c>
      <c r="AM105" s="9" t="s">
        <v>581</v>
      </c>
      <c r="AN105" s="1" t="s">
        <v>582</v>
      </c>
      <c r="AO105" s="1">
        <v>5049505.0</v>
      </c>
      <c r="AP105" s="1">
        <v>33.7625742633</v>
      </c>
      <c r="AQ105" s="1">
        <v>-111.9445019963</v>
      </c>
      <c r="AR105" s="1">
        <v>49.3</v>
      </c>
      <c r="AS105" s="10">
        <f>AVERAGE($C$2:$C$329)</f>
        <v>206948.5429</v>
      </c>
      <c r="AT105" s="1">
        <v>16.41</v>
      </c>
      <c r="AU105" s="10">
        <f>IFERROR(($AS41-C41)/$AS41,0)</f>
        <v>-0.282255948</v>
      </c>
      <c r="AV105" s="10">
        <f>$AS41-C41</f>
        <v>-58412.45714</v>
      </c>
      <c r="AW105" s="1">
        <v>28758.0</v>
      </c>
      <c r="AX105" s="1" t="s">
        <v>582</v>
      </c>
      <c r="AZ105" s="9" t="s">
        <v>583</v>
      </c>
      <c r="BA105" s="1" t="s">
        <v>584</v>
      </c>
      <c r="BE105" s="1" t="s">
        <v>330</v>
      </c>
    </row>
    <row r="106">
      <c r="C106" s="1">
        <v>127518.0</v>
      </c>
      <c r="D106" s="1">
        <v>206051.0</v>
      </c>
      <c r="E106" s="1">
        <v>1314.62</v>
      </c>
      <c r="F106" s="1">
        <v>42.17</v>
      </c>
      <c r="G106" s="1">
        <v>266.0</v>
      </c>
      <c r="H106" s="1">
        <v>9.0</v>
      </c>
      <c r="I106" s="1">
        <v>6.0</v>
      </c>
      <c r="J106" s="1">
        <v>30.0</v>
      </c>
      <c r="K106" s="1" t="b">
        <v>1</v>
      </c>
      <c r="L106" s="1" t="b">
        <v>0</v>
      </c>
      <c r="M106" s="1" t="b">
        <v>0</v>
      </c>
      <c r="N106" s="1" t="b">
        <v>1</v>
      </c>
      <c r="O106" s="1" t="b">
        <v>1</v>
      </c>
      <c r="P106" s="1" t="b">
        <v>1</v>
      </c>
      <c r="Q106" s="1" t="b">
        <v>0</v>
      </c>
      <c r="R106" s="1" t="s">
        <v>63</v>
      </c>
      <c r="S106" s="1" t="s">
        <v>64</v>
      </c>
      <c r="T106" s="1" t="s">
        <v>65</v>
      </c>
      <c r="U106" s="1">
        <v>5.0</v>
      </c>
      <c r="V106" s="1">
        <v>11.0</v>
      </c>
      <c r="W106" s="1">
        <v>1.0</v>
      </c>
      <c r="X106" s="1">
        <v>1.0</v>
      </c>
      <c r="Y106" s="1" t="s">
        <v>66</v>
      </c>
      <c r="Z106" s="1" t="b">
        <v>0</v>
      </c>
      <c r="AA106" s="1">
        <v>472.0</v>
      </c>
      <c r="AB106" s="1" t="b">
        <v>1</v>
      </c>
      <c r="AC106" s="1">
        <v>97.0</v>
      </c>
      <c r="AD106" s="1">
        <v>28.0</v>
      </c>
      <c r="AE106" s="8">
        <v>46158.0</v>
      </c>
      <c r="AF106" s="1" t="s">
        <v>268</v>
      </c>
      <c r="AG106" s="1" t="s">
        <v>347</v>
      </c>
      <c r="AH106" s="1" t="s">
        <v>347</v>
      </c>
      <c r="AI106" s="1" t="s">
        <v>70</v>
      </c>
      <c r="AJ106" s="1">
        <v>86040.0</v>
      </c>
      <c r="AK106" s="1" t="s">
        <v>71</v>
      </c>
      <c r="AL106" s="1" t="s">
        <v>123</v>
      </c>
      <c r="AM106" s="9" t="s">
        <v>585</v>
      </c>
      <c r="AO106" s="1" t="s">
        <v>586</v>
      </c>
      <c r="AP106" s="1">
        <v>36.893692</v>
      </c>
      <c r="AQ106" s="1">
        <v>-111.471096</v>
      </c>
      <c r="AR106" s="1">
        <v>50.34</v>
      </c>
      <c r="AS106" s="10">
        <f>AVERAGE($C$2:$C$179)</f>
        <v>206948.5429</v>
      </c>
      <c r="AT106" s="1">
        <v>-8.17</v>
      </c>
      <c r="AU106" s="10">
        <f>IFERROR(($AS7-C7)/$AS7,0)</f>
        <v>-0.3610533136</v>
      </c>
      <c r="AV106" s="10">
        <f>$AS7-C7</f>
        <v>-74719.45714</v>
      </c>
      <c r="AW106" s="1">
        <v>78533.0</v>
      </c>
      <c r="AX106" s="1" t="s">
        <v>586</v>
      </c>
      <c r="AZ106" s="9" t="s">
        <v>587</v>
      </c>
      <c r="BA106" s="1" t="s">
        <v>588</v>
      </c>
      <c r="BE106" s="1" t="s">
        <v>330</v>
      </c>
    </row>
  </sheetData>
  <autoFilter ref="$A$1:$BL$108">
    <sortState ref="A1:BL108">
      <sortCondition ref="BB1:BB108"/>
    </sortState>
  </autoFilter>
  <hyperlinks>
    <hyperlink r:id="rId1" ref="AM2"/>
    <hyperlink r:id="rId2" ref="AZ2"/>
    <hyperlink r:id="rId3" ref="BC2"/>
    <hyperlink r:id="rId4" ref="BG2"/>
    <hyperlink r:id="rId5" ref="AM3"/>
    <hyperlink r:id="rId6" ref="AZ3"/>
    <hyperlink r:id="rId7" ref="BG3"/>
    <hyperlink r:id="rId8" ref="AM4"/>
    <hyperlink r:id="rId9" ref="AZ4"/>
    <hyperlink r:id="rId10" ref="BC4"/>
    <hyperlink r:id="rId11" ref="BG4"/>
    <hyperlink r:id="rId12" ref="AM5"/>
    <hyperlink r:id="rId13" ref="AZ5"/>
    <hyperlink r:id="rId14" ref="BG5"/>
    <hyperlink r:id="rId15" ref="AM6"/>
    <hyperlink r:id="rId16" ref="AZ6"/>
    <hyperlink r:id="rId17" ref="BC6"/>
    <hyperlink r:id="rId18" ref="BG6"/>
    <hyperlink r:id="rId19" ref="AM7"/>
    <hyperlink r:id="rId20" ref="AZ7"/>
    <hyperlink r:id="rId21" ref="BG7"/>
    <hyperlink r:id="rId22" ref="AM8"/>
    <hyperlink r:id="rId23" ref="AZ8"/>
    <hyperlink r:id="rId24" ref="BG8"/>
    <hyperlink r:id="rId25" ref="AM9"/>
    <hyperlink r:id="rId26" ref="AZ9"/>
    <hyperlink r:id="rId27" ref="BG9"/>
    <hyperlink r:id="rId28" ref="AM10"/>
    <hyperlink r:id="rId29" ref="AZ10"/>
    <hyperlink r:id="rId30" ref="BG10"/>
    <hyperlink r:id="rId31" ref="AM11"/>
    <hyperlink r:id="rId32" ref="AZ11"/>
    <hyperlink r:id="rId33" ref="BG11"/>
    <hyperlink r:id="rId34" ref="AM12"/>
    <hyperlink r:id="rId35" ref="AZ12"/>
    <hyperlink r:id="rId36" ref="BG12"/>
    <hyperlink r:id="rId37" ref="AM13"/>
    <hyperlink r:id="rId38" ref="AZ13"/>
    <hyperlink r:id="rId39" ref="BG13"/>
    <hyperlink r:id="rId40" ref="AM14"/>
    <hyperlink r:id="rId41" ref="AZ14"/>
    <hyperlink r:id="rId42" ref="BC14"/>
    <hyperlink r:id="rId43" ref="BG14"/>
    <hyperlink r:id="rId44" ref="AM15"/>
    <hyperlink r:id="rId45" ref="AZ15"/>
    <hyperlink r:id="rId46" ref="BG15"/>
    <hyperlink r:id="rId47" ref="AM16"/>
    <hyperlink r:id="rId48" ref="AZ16"/>
    <hyperlink r:id="rId49" ref="BG16"/>
    <hyperlink r:id="rId50" ref="AM17"/>
    <hyperlink r:id="rId51" ref="AZ17"/>
    <hyperlink r:id="rId52" ref="BG17"/>
    <hyperlink r:id="rId53" ref="AM18"/>
    <hyperlink r:id="rId54" ref="AZ18"/>
    <hyperlink r:id="rId55" ref="BG18"/>
    <hyperlink r:id="rId56" ref="AM19"/>
    <hyperlink r:id="rId57" ref="AZ19"/>
    <hyperlink r:id="rId58" ref="BG19"/>
    <hyperlink r:id="rId59" ref="AM20"/>
    <hyperlink r:id="rId60" ref="AZ20"/>
    <hyperlink r:id="rId61" ref="BG20"/>
    <hyperlink r:id="rId62" ref="AM21"/>
    <hyperlink r:id="rId63" ref="AZ21"/>
    <hyperlink r:id="rId64" ref="BG21"/>
    <hyperlink r:id="rId65" ref="AM22"/>
    <hyperlink r:id="rId66" ref="AZ22"/>
    <hyperlink r:id="rId67" ref="BG22"/>
    <hyperlink r:id="rId68" ref="AM23"/>
    <hyperlink r:id="rId69" ref="AZ23"/>
    <hyperlink r:id="rId70" ref="BG23"/>
    <hyperlink r:id="rId71" ref="AM24"/>
    <hyperlink r:id="rId72" ref="AZ24"/>
    <hyperlink r:id="rId73" ref="BG24"/>
    <hyperlink r:id="rId74" ref="A25"/>
    <hyperlink r:id="rId75" ref="B25"/>
    <hyperlink r:id="rId76" ref="AM25"/>
    <hyperlink r:id="rId77" ref="AZ25"/>
    <hyperlink r:id="rId78" ref="BC25"/>
    <hyperlink r:id="rId79" ref="BG25"/>
    <hyperlink r:id="rId80" ref="A26"/>
    <hyperlink r:id="rId81" ref="B26"/>
    <hyperlink r:id="rId82" ref="AM26"/>
    <hyperlink r:id="rId83" ref="AZ26"/>
    <hyperlink r:id="rId84" ref="BC26"/>
    <hyperlink r:id="rId85" ref="BG26"/>
    <hyperlink r:id="rId86" ref="A27"/>
    <hyperlink r:id="rId87" ref="B27"/>
    <hyperlink r:id="rId88" ref="AM27"/>
    <hyperlink r:id="rId89" ref="AZ27"/>
    <hyperlink r:id="rId90" ref="BC27"/>
    <hyperlink r:id="rId91" ref="BG27"/>
    <hyperlink r:id="rId92" ref="A28"/>
    <hyperlink r:id="rId93" ref="B28"/>
    <hyperlink r:id="rId94" ref="AM28"/>
    <hyperlink r:id="rId95" ref="AZ28"/>
    <hyperlink r:id="rId96" ref="BC28"/>
    <hyperlink r:id="rId97" ref="BG28"/>
    <hyperlink r:id="rId98" ref="B29"/>
    <hyperlink r:id="rId99" ref="AM29"/>
    <hyperlink r:id="rId100" ref="AZ29"/>
    <hyperlink r:id="rId101" ref="BC29"/>
    <hyperlink r:id="rId102" ref="BG29"/>
    <hyperlink r:id="rId103" ref="A30"/>
    <hyperlink r:id="rId104" ref="B30"/>
    <hyperlink r:id="rId105" ref="AM30"/>
    <hyperlink r:id="rId106" ref="AZ30"/>
    <hyperlink r:id="rId107" ref="BC30"/>
    <hyperlink r:id="rId108" ref="BG30"/>
    <hyperlink r:id="rId109" ref="A31"/>
    <hyperlink r:id="rId110" ref="B31"/>
    <hyperlink r:id="rId111" ref="AM31"/>
    <hyperlink r:id="rId112" ref="AZ31"/>
    <hyperlink r:id="rId113" ref="BC31"/>
    <hyperlink r:id="rId114" ref="BG31"/>
    <hyperlink r:id="rId115" ref="B32"/>
    <hyperlink r:id="rId116" ref="AM32"/>
    <hyperlink r:id="rId117" ref="AZ32"/>
    <hyperlink r:id="rId118" ref="BC32"/>
    <hyperlink r:id="rId119" ref="BG32"/>
    <hyperlink r:id="rId120" ref="AM33"/>
    <hyperlink r:id="rId121" ref="AZ33"/>
    <hyperlink r:id="rId122" ref="BG33"/>
    <hyperlink r:id="rId123" ref="AM34"/>
    <hyperlink r:id="rId124" ref="AZ34"/>
    <hyperlink r:id="rId125" ref="BG34"/>
    <hyperlink r:id="rId126" ref="AM35"/>
    <hyperlink r:id="rId127" ref="AZ35"/>
    <hyperlink r:id="rId128" ref="BG35"/>
    <hyperlink r:id="rId129" ref="AM36"/>
    <hyperlink r:id="rId130" ref="AZ36"/>
    <hyperlink r:id="rId131" ref="BG36"/>
    <hyperlink r:id="rId132" ref="AM37"/>
    <hyperlink r:id="rId133" ref="AZ37"/>
    <hyperlink r:id="rId134" ref="BG37"/>
    <hyperlink r:id="rId135" ref="AM38"/>
    <hyperlink r:id="rId136" ref="AZ38"/>
    <hyperlink r:id="rId137" ref="BG38"/>
    <hyperlink r:id="rId138" ref="AM39"/>
    <hyperlink r:id="rId139" ref="AZ39"/>
    <hyperlink r:id="rId140" ref="AM40"/>
    <hyperlink r:id="rId141" ref="AZ40"/>
    <hyperlink r:id="rId142" ref="AM41"/>
    <hyperlink r:id="rId143" ref="AZ41"/>
    <hyperlink r:id="rId144" ref="AM42"/>
    <hyperlink r:id="rId145" ref="AZ42"/>
    <hyperlink r:id="rId146" ref="AM43"/>
    <hyperlink r:id="rId147" ref="AZ43"/>
    <hyperlink r:id="rId148" ref="AM44"/>
    <hyperlink r:id="rId149" ref="AZ44"/>
    <hyperlink r:id="rId150" ref="AM45"/>
    <hyperlink r:id="rId151" ref="AZ45"/>
    <hyperlink r:id="rId152" ref="AM46"/>
    <hyperlink r:id="rId153" ref="AZ46"/>
    <hyperlink r:id="rId154" ref="AM47"/>
    <hyperlink r:id="rId155" ref="AZ47"/>
    <hyperlink r:id="rId156" ref="AM48"/>
    <hyperlink r:id="rId157" ref="AZ48"/>
    <hyperlink r:id="rId158" ref="AM49"/>
    <hyperlink r:id="rId159" ref="AZ49"/>
    <hyperlink r:id="rId160" ref="AM50"/>
    <hyperlink r:id="rId161" ref="AZ50"/>
    <hyperlink r:id="rId162" ref="AM51"/>
    <hyperlink r:id="rId163" ref="AZ51"/>
    <hyperlink r:id="rId164" ref="AM52"/>
    <hyperlink r:id="rId165" ref="AZ52"/>
    <hyperlink r:id="rId166" ref="AM53"/>
    <hyperlink r:id="rId167" ref="AZ53"/>
    <hyperlink r:id="rId168" ref="AM54"/>
    <hyperlink r:id="rId169" ref="AZ54"/>
    <hyperlink r:id="rId170" ref="AM55"/>
    <hyperlink r:id="rId171" ref="AZ55"/>
    <hyperlink r:id="rId172" ref="AM56"/>
    <hyperlink r:id="rId173" ref="AZ56"/>
    <hyperlink r:id="rId174" ref="AM57"/>
    <hyperlink r:id="rId175" ref="AZ57"/>
    <hyperlink r:id="rId176" ref="AM58"/>
    <hyperlink r:id="rId177" ref="AZ58"/>
    <hyperlink r:id="rId178" ref="AM59"/>
    <hyperlink r:id="rId179" ref="AZ59"/>
    <hyperlink r:id="rId180" ref="AM60"/>
    <hyperlink r:id="rId181" ref="AZ60"/>
    <hyperlink r:id="rId182" ref="AM61"/>
    <hyperlink r:id="rId183" ref="AZ61"/>
    <hyperlink r:id="rId184" ref="AM62"/>
    <hyperlink r:id="rId185" ref="AZ62"/>
    <hyperlink r:id="rId186" ref="AM63"/>
    <hyperlink r:id="rId187" ref="AZ63"/>
    <hyperlink r:id="rId188" ref="AM64"/>
    <hyperlink r:id="rId189" ref="AZ64"/>
    <hyperlink r:id="rId190" ref="AM65"/>
    <hyperlink r:id="rId191" ref="AZ65"/>
    <hyperlink r:id="rId192" ref="AM66"/>
    <hyperlink r:id="rId193" ref="AZ66"/>
    <hyperlink r:id="rId194" ref="AM67"/>
    <hyperlink r:id="rId195" ref="AZ67"/>
    <hyperlink r:id="rId196" ref="AM68"/>
    <hyperlink r:id="rId197" ref="AZ68"/>
    <hyperlink r:id="rId198" ref="AM69"/>
    <hyperlink r:id="rId199" ref="AZ69"/>
    <hyperlink r:id="rId200" ref="AM70"/>
    <hyperlink r:id="rId201" ref="AZ70"/>
    <hyperlink r:id="rId202" ref="AM71"/>
    <hyperlink r:id="rId203" ref="AZ71"/>
    <hyperlink r:id="rId204" ref="AM72"/>
    <hyperlink r:id="rId205" ref="AZ72"/>
    <hyperlink r:id="rId206" ref="AM73"/>
    <hyperlink r:id="rId207" ref="AZ73"/>
    <hyperlink r:id="rId208" ref="AM74"/>
    <hyperlink r:id="rId209" ref="AZ74"/>
    <hyperlink r:id="rId210" ref="AM75"/>
    <hyperlink r:id="rId211" ref="AZ75"/>
    <hyperlink r:id="rId212" ref="AM76"/>
    <hyperlink r:id="rId213" ref="AZ76"/>
    <hyperlink r:id="rId214" ref="AM77"/>
    <hyperlink r:id="rId215" ref="AZ77"/>
    <hyperlink r:id="rId216" ref="AM78"/>
    <hyperlink r:id="rId217" ref="AZ78"/>
    <hyperlink r:id="rId218" ref="AM79"/>
    <hyperlink r:id="rId219" ref="AZ79"/>
    <hyperlink r:id="rId220" ref="AM80"/>
    <hyperlink r:id="rId221" ref="AZ80"/>
    <hyperlink r:id="rId222" ref="AM81"/>
    <hyperlink r:id="rId223" ref="AZ81"/>
    <hyperlink r:id="rId224" ref="AM82"/>
    <hyperlink r:id="rId225" ref="AZ82"/>
    <hyperlink r:id="rId226" ref="AM83"/>
    <hyperlink r:id="rId227" ref="AZ83"/>
    <hyperlink r:id="rId228" ref="AM84"/>
    <hyperlink r:id="rId229" ref="AZ84"/>
    <hyperlink r:id="rId230" ref="AM85"/>
    <hyperlink r:id="rId231" ref="AZ85"/>
    <hyperlink r:id="rId232" ref="AM86"/>
    <hyperlink r:id="rId233" ref="AZ86"/>
    <hyperlink r:id="rId234" ref="AM87"/>
    <hyperlink r:id="rId235" ref="AZ87"/>
    <hyperlink r:id="rId236" ref="AM88"/>
    <hyperlink r:id="rId237" ref="AZ88"/>
    <hyperlink r:id="rId238" ref="AM89"/>
    <hyperlink r:id="rId239" ref="AZ89"/>
    <hyperlink r:id="rId240" ref="AM90"/>
    <hyperlink r:id="rId241" ref="AZ90"/>
    <hyperlink r:id="rId242" ref="AM91"/>
    <hyperlink r:id="rId243" ref="AZ91"/>
    <hyperlink r:id="rId244" ref="AM92"/>
    <hyperlink r:id="rId245" ref="AZ92"/>
    <hyperlink r:id="rId246" ref="AM93"/>
    <hyperlink r:id="rId247" ref="AZ93"/>
    <hyperlink r:id="rId248" ref="AM94"/>
    <hyperlink r:id="rId249" ref="AZ94"/>
    <hyperlink r:id="rId250" ref="AM95"/>
    <hyperlink r:id="rId251" ref="AZ95"/>
    <hyperlink r:id="rId252" ref="AM96"/>
    <hyperlink r:id="rId253" ref="AZ96"/>
    <hyperlink r:id="rId254" ref="AM97"/>
    <hyperlink r:id="rId255" ref="AZ97"/>
    <hyperlink r:id="rId256" ref="AM98"/>
    <hyperlink r:id="rId257" ref="AZ98"/>
    <hyperlink r:id="rId258" ref="AM99"/>
    <hyperlink r:id="rId259" ref="AZ99"/>
    <hyperlink r:id="rId260" ref="AM100"/>
    <hyperlink r:id="rId261" ref="AZ100"/>
    <hyperlink r:id="rId262" ref="AM101"/>
    <hyperlink r:id="rId263" ref="AZ101"/>
    <hyperlink r:id="rId264" ref="AM102"/>
    <hyperlink r:id="rId265" ref="AZ102"/>
    <hyperlink r:id="rId266" ref="AM103"/>
    <hyperlink r:id="rId267" ref="AZ103"/>
    <hyperlink r:id="rId268" ref="AM104"/>
    <hyperlink r:id="rId269" ref="AZ104"/>
    <hyperlink r:id="rId270" ref="AM105"/>
    <hyperlink r:id="rId271" ref="AZ105"/>
    <hyperlink r:id="rId272" ref="AM106"/>
    <hyperlink r:id="rId273" ref="AZ106"/>
  </hyperlinks>
  <drawing r:id="rId274"/>
</worksheet>
</file>