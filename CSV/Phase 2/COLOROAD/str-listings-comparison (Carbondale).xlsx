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r-listings-comparison (Carbon" sheetId="1" r:id="rId5"/>
  </sheets>
  <definedNames/>
  <calcPr/>
</workbook>
</file>

<file path=xl/sharedStrings.xml><?xml version="1.0" encoding="utf-8"?>
<sst xmlns="http://schemas.openxmlformats.org/spreadsheetml/2006/main" count="3381" uniqueCount="947">
  <si>
    <t>Title</t>
  </si>
  <si>
    <t>Property Manager/Host</t>
  </si>
  <si>
    <t>Contact</t>
  </si>
  <si>
    <t>Revenue</t>
  </si>
  <si>
    <t>Revenue Potential</t>
  </si>
  <si>
    <t>ADR</t>
  </si>
  <si>
    <t>Occupancy</t>
  </si>
  <si>
    <t>Days Available</t>
  </si>
  <si>
    <t>Bedrooms</t>
  </si>
  <si>
    <t>Bathrooms</t>
  </si>
  <si>
    <t>Accommodates</t>
  </si>
  <si>
    <t>Has Air Conditioning</t>
  </si>
  <si>
    <t>Has Gym</t>
  </si>
  <si>
    <t>Has Hot Tub</t>
  </si>
  <si>
    <t>Has Kitchen</t>
  </si>
  <si>
    <t>Has Parking</t>
  </si>
  <si>
    <t>Has Pets</t>
  </si>
  <si>
    <t>Has Pool</t>
  </si>
  <si>
    <t>Listing Type</t>
  </si>
  <si>
    <t>Property Type</t>
  </si>
  <si>
    <t>Real Estate Type</t>
  </si>
  <si>
    <t>Overall Rating</t>
  </si>
  <si>
    <t>Number of Reviews</t>
  </si>
  <si>
    <t>Minimum Stay</t>
  </si>
  <si>
    <t>Host Unit Count</t>
  </si>
  <si>
    <t>Price Tier</t>
  </si>
  <si>
    <t>Airbnb Superhost</t>
  </si>
  <si>
    <t>Cleaning Fee</t>
  </si>
  <si>
    <t>Instant Book</t>
  </si>
  <si>
    <t>Reserved Days</t>
  </si>
  <si>
    <t>Number of Bookings</t>
  </si>
  <si>
    <t>Last Update</t>
  </si>
  <si>
    <t>AirDNA Market</t>
  </si>
  <si>
    <t>AirDNA Subarket</t>
  </si>
  <si>
    <t>City</t>
  </si>
  <si>
    <t>State</t>
  </si>
  <si>
    <t>Zipcode</t>
  </si>
  <si>
    <t>Country</t>
  </si>
  <si>
    <t>Location Type</t>
  </si>
  <si>
    <t>Listing URL</t>
  </si>
  <si>
    <t>Main Listing Image</t>
  </si>
  <si>
    <t>Airbnb Property ID</t>
  </si>
  <si>
    <t>Vrbo Property ID</t>
  </si>
  <si>
    <t>Latitude</t>
  </si>
  <si>
    <t>Longitude</t>
  </si>
  <si>
    <t>Market Average Occupancy</t>
  </si>
  <si>
    <t>Market Average Revenue</t>
  </si>
  <si>
    <t>Occupancy Gap</t>
  </si>
  <si>
    <t>Revenue % Gap</t>
  </si>
  <si>
    <t>Revenue $ Gap</t>
  </si>
  <si>
    <t>Twin Creeks Ranch | 17min to DT Aspen + Skiing!</t>
  </si>
  <si>
    <t>Home/Apartment</t>
  </si>
  <si>
    <t>Villa</t>
  </si>
  <si>
    <t>House/villa</t>
  </si>
  <si>
    <t>Luxury</t>
  </si>
  <si>
    <t>Glenwood Springs</t>
  </si>
  <si>
    <t>Carbondale</t>
  </si>
  <si>
    <t>Snowmass</t>
  </si>
  <si>
    <t>Colorado</t>
  </si>
  <si>
    <t>United States</t>
  </si>
  <si>
    <t>mountains_lakes</t>
  </si>
  <si>
    <t>https://www.airbnb.com/rooms/593697918174860171</t>
  </si>
  <si>
    <t>https://a0.muscache.com/im/pictures/hosting/Hosting-U3RheVN1cHBseUxpc3Rpbmc6NTkzNjk3OTE4MTc0ODYwMTcx/original/e0681728-fa04-4971-8705-ad423d268f6d.jpeg</t>
  </si>
  <si>
    <t>593697918174860171</t>
  </si>
  <si>
    <t>Snowmass Contemporary Ranch</t>
  </si>
  <si>
    <t>House</t>
  </si>
  <si>
    <t>https://www.airbnb.com/rooms/1081304037616195118</t>
  </si>
  <si>
    <t>https://a0.muscache.com/im/pictures/miso/Hosting-1081304037616195118/original/d616cf46-6836-4aa9-b878-5f36522107f2.jpeg</t>
  </si>
  <si>
    <t>1081304037616195118</t>
  </si>
  <si>
    <t>Luxurious Estate with Stunning Views</t>
  </si>
  <si>
    <t>E&amp;V Aspen SM Rentals</t>
  </si>
  <si>
    <t>21+</t>
  </si>
  <si>
    <t>Basalt</t>
  </si>
  <si>
    <t>https://www.airbnb.com/rooms/1282771927793801014</t>
  </si>
  <si>
    <t>https://a0.muscache.com/im/pictures/prohost-api/Hosting-1282771927793801014/original/5047cb63-3ba2-4d4f-a5ce-5224d206300d.jpeg</t>
  </si>
  <si>
    <t>1282771927793801014</t>
  </si>
  <si>
    <t>Sky Door Ranch</t>
  </si>
  <si>
    <t>https://www.airbnb.com/rooms/43325852</t>
  </si>
  <si>
    <t>https://a0.muscache.com/im/pictures/1f6fa3d5-6b97-4afe-ba98-d09029a98e56.jpg</t>
  </si>
  <si>
    <t>Waterfront Luxury Mountain Retreat</t>
  </si>
  <si>
    <t>Blue Gems Mgmt</t>
  </si>
  <si>
    <t>https://www.airbnb.com/rooms/760932843204621095</t>
  </si>
  <si>
    <t>https://a0.muscache.com/im/pictures/miso/Hosting-760932843204621095/original/fa497181-2040-476f-9e0b-35b598273c33.jpeg</t>
  </si>
  <si>
    <t>760932843204621095</t>
  </si>
  <si>
    <t>Aspen Valley Sky Ranch</t>
  </si>
  <si>
    <t>https://www.airbnb.com/rooms/846300604765747633</t>
  </si>
  <si>
    <t>https://a0.muscache.com/im/pictures/prohost-api/Hosting-846300604765747633/original/caff08d5-5411-4a9e-9333-3870812bbb4d.jpeg</t>
  </si>
  <si>
    <t>846300604765747633</t>
  </si>
  <si>
    <t>Brookie Lodge on Beaver Lake (MARBLE, COLORADO)</t>
  </si>
  <si>
    <t>https://www.airbnb.com/rooms/40309364</t>
  </si>
  <si>
    <t>https://a0.muscache.com/im/pictures/01f23406-726c-4c2f-8556-d1f45546c5a4.jpg</t>
  </si>
  <si>
    <t>Stunning Log Home - Breathtaking views over Snowmass and Aspen - 5 Bedrooms</t>
  </si>
  <si>
    <t>https://www.vrbo.com/3693292</t>
  </si>
  <si>
    <t>https://media.vrbo.com/lodging/101000000/100160000/100156100/100156052/ff769346.jpg?impolicy=resizecrop&amp;rw=1200&amp;ra=fit</t>
  </si>
  <si>
    <t>Valinor Ranch — Thirty-Five Acres Above the Valley</t>
  </si>
  <si>
    <t>https://www.airbnb.com/rooms/50070903</t>
  </si>
  <si>
    <t>https://a0.muscache.com/im/pictures/prohost-api/Hosting-50070903/original/39b2b8e9-56e9-42ca-98ae-e3ed15c0d480.jpeg</t>
  </si>
  <si>
    <t>Twin Peaks w/ Hot Tub &amp; Elevated Sopris Views</t>
  </si>
  <si>
    <t>Boutique Mountain Homes</t>
  </si>
  <si>
    <t>https://www.airbnb.com/rooms/45453217</t>
  </si>
  <si>
    <t>https://a0.muscache.com/im/pictures/prohost-api/Hosting-45453217/original/43de7878-6946-40a8-b667-4dac11688014.jpeg</t>
  </si>
  <si>
    <t>Stunning  views from this 5 bedroom home on 8 acres, sleeps 12</t>
  </si>
  <si>
    <t>https://www.vrbo.com/688864</t>
  </si>
  <si>
    <t>https://media.vrbo.com/lodging/34000000/33500000/33494400/33494370/1e1860d8.jpg?impolicy=resizecrop&amp;rw=1200&amp;ra=fit</t>
  </si>
  <si>
    <t>Private 3-Acre Retreat W/Hot Tub &amp; Sopris Views</t>
  </si>
  <si>
    <t>https://www.airbnb.com/rooms/711683455966080425</t>
  </si>
  <si>
    <t>https://a0.muscache.com/im/pictures/miso/Hosting-711683455966080425/original/ce77cffb-852b-47d4-9974-fbac050250fa.jpeg</t>
  </si>
  <si>
    <t>711683455966080425</t>
  </si>
  <si>
    <t>Estate w/ 3 Spaces Near Aspen, Skiing, Hot Springs</t>
  </si>
  <si>
    <t>Place</t>
  </si>
  <si>
    <t>https://www.airbnb.com/rooms/48025432</t>
  </si>
  <si>
    <t>https://a0.muscache.com/im/pictures/miso/Hosting-48025432/original/3ce3406a-103c-4afa-a63b-d7b5ac589d80.jpeg</t>
  </si>
  <si>
    <t>Modern Guesthouse Roaring Fork</t>
  </si>
  <si>
    <t>https://www.airbnb.com/rooms/1446785909520866063</t>
  </si>
  <si>
    <t>https://a0.muscache.com/im/pictures/prohost-api/Hosting-1446785909520866063/original/aeae7f5c-6300-4269-a81e-5b1b0adb9239.jpeg</t>
  </si>
  <si>
    <t>1446785909520866063</t>
  </si>
  <si>
    <t>Darien Ranch Lodge: 7 Queen or King, 6 Singles</t>
  </si>
  <si>
    <t>https://www.airbnb.com/rooms/29412594</t>
  </si>
  <si>
    <t>https://a0.muscache.com/im/pictures/miso/Hosting-29412594/original/16738b4b-3941-433b-b890-8dc686a4c58f.jpeg</t>
  </si>
  <si>
    <t>Absolutely gorgeous new home outstanding views</t>
  </si>
  <si>
    <t>https://www.airbnb.com/rooms/720207035464369202</t>
  </si>
  <si>
    <t>https://a0.muscache.com/im/pictures/miso/Hosting-720207035464369202/original/35082405-4a9b-49ee-94bc-1c1fee66edc6.jpeg</t>
  </si>
  <si>
    <t>720207035464369202</t>
  </si>
  <si>
    <t>3Bd 2Bth Chalet w/Views on 35 acres near Aspen</t>
  </si>
  <si>
    <t>https://www.airbnb.com/rooms/1183975964789723020</t>
  </si>
  <si>
    <t>https://a0.muscache.com/im/pictures/miso/Hosting-1183975964789723020/original/0711ce31-0c51-4220-8696-dcaa14bc623c.jpeg</t>
  </si>
  <si>
    <t>1183975964789723020</t>
  </si>
  <si>
    <t>Snowmass Home w/ Hot Tub, Fireplace, &amp; Mtn Views!</t>
  </si>
  <si>
    <t>Evolve</t>
  </si>
  <si>
    <t>https://www.airbnb.com/rooms/18446757</t>
  </si>
  <si>
    <t>https://a0.muscache.com/im/pictures/prohost-api/Hosting-18446757/original/588b2246-edde-467a-bdf5-234bcc5d3481.jpeg</t>
  </si>
  <si>
    <t>4149416ha</t>
  </si>
  <si>
    <t>NEW Spacious Home in Downtown Basalt - A+ location with views!</t>
  </si>
  <si>
    <t>https://www.vrbo.com/3058982</t>
  </si>
  <si>
    <t>https://media.vrbo.com/lodging/89000000/88210000/88204500/88204454/8dc811c2.jpg?impolicy=resizecrop&amp;rw=1200&amp;ra=fit</t>
  </si>
  <si>
    <t>4 Riverfront Cabins | Hot Tub | Hot Springs</t>
  </si>
  <si>
    <t>Vacasa</t>
  </si>
  <si>
    <t>Cabin</t>
  </si>
  <si>
    <t>https://www.airbnb.com/rooms/1355302642512674925</t>
  </si>
  <si>
    <t>https://a0.muscache.com/im/pictures/prohost-api/Hosting-1355302642512674925/original/87769948-09ce-4ebb-81f1-42fdf30a1f4f.jpeg</t>
  </si>
  <si>
    <t>1355302642512674925</t>
  </si>
  <si>
    <t>Mountain Paradise</t>
  </si>
  <si>
    <t>https://www.airbnb.com/rooms/1443128070291704860</t>
  </si>
  <si>
    <t>https://a0.muscache.com/im/pictures/hosting/Hosting-1443128070291704860/original/7f646507-ff0e-46e1-8a45-71ce58494c5b.jpeg</t>
  </si>
  <si>
    <t>1443128070291704860</t>
  </si>
  <si>
    <t>Panoramic Sopris Views in Carbondale | Sundeck</t>
  </si>
  <si>
    <t>https://www.airbnb.com/rooms/36757348</t>
  </si>
  <si>
    <t>https://a0.muscache.com/im/pictures/806c7f1a-ba07-4c15-a528-ec1b6ac38170.jpg</t>
  </si>
  <si>
    <t>Historic Carbondale Home Main St | Sunflower</t>
  </si>
  <si>
    <t>https://www.airbnb.com/rooms/53959021</t>
  </si>
  <si>
    <t>https://a0.muscache.com/im/pictures/prohost-api/Hosting-53959021/original/885ad70f-8a63-401e-9368-871b0dfecb32.jpeg</t>
  </si>
  <si>
    <t>Private Mountain Escape: Yard, Views &amp; Hot Tub!</t>
  </si>
  <si>
    <t>https://www.airbnb.com/rooms/1218764280123048800</t>
  </si>
  <si>
    <t>https://a0.muscache.com/im/pictures/hosting/Hosting-1218764280123048800/original/476c6844-9904-45c7-96a1-a8af4b5993e6.jpeg</t>
  </si>
  <si>
    <t>1218764280123048800</t>
  </si>
  <si>
    <t>Hot Tub, Cold Plunge &amp; Sauna, Mountain Views</t>
  </si>
  <si>
    <t>https://www.airbnb.com/rooms/1402469687001105592</t>
  </si>
  <si>
    <t>https://a0.muscache.com/im/pictures/miso/Hosting-1402469687001105592/original/647a5894-f9a6-46a2-97c8-9b99a23ebbe8.jpeg</t>
  </si>
  <si>
    <t>1402469687001105592</t>
  </si>
  <si>
    <t>Heaven House</t>
  </si>
  <si>
    <t>https://www.airbnb.com/rooms/33021464</t>
  </si>
  <si>
    <t>https://a0.muscache.com/im/pictures/3a18b9e3-f998-4fc9-b94c-ecee3e0f6669.jpg</t>
  </si>
  <si>
    <t>Top-Floor 3BR on Carbondale Main St. | Perch</t>
  </si>
  <si>
    <t>Condominium (condo)</t>
  </si>
  <si>
    <t>Apt/Condo/Loft</t>
  </si>
  <si>
    <t>https://www.airbnb.com/rooms/1265328133112354478</t>
  </si>
  <si>
    <t>https://a0.muscache.com/im/pictures/prohost-api/Hosting-1265328133112354478/original/ffa0c466-807a-432e-aa86-83cd2e641d07.jpeg</t>
  </si>
  <si>
    <t>1265328133112354478</t>
  </si>
  <si>
    <t>Scenic Valley Hideaway w/ Views | La Casita</t>
  </si>
  <si>
    <t>https://www.airbnb.com/rooms/1369806560553392199</t>
  </si>
  <si>
    <t>https://a0.muscache.com/im/pictures/prohost-api/Hosting-1369806560553392199/original/9ee8498b-44d7-4a86-a438-47f20de783f1.jpeg</t>
  </si>
  <si>
    <t>1369806560553392199</t>
  </si>
  <si>
    <t>Fernweh Ranch - Peaceful, Mountain Living</t>
  </si>
  <si>
    <t>https://www.airbnb.com/rooms/643520971518953625</t>
  </si>
  <si>
    <t>https://a0.muscache.com/im/pictures/miso/Hosting-643520971518953625/original/da8b9c30-7316-4092-a143-05118b96feef.jpeg</t>
  </si>
  <si>
    <t>643520971518953625</t>
  </si>
  <si>
    <t>9756122ha</t>
  </si>
  <si>
    <t>Low Tax Luxe Mountain Getaway by Aspen</t>
  </si>
  <si>
    <t>https://www.airbnb.com/rooms/1110256712662062360</t>
  </si>
  <si>
    <t>https://a0.muscache.com/im/pictures/miso/Hosting-1110256712662062360/original/069679ac-826b-4724-b3e3-94fe499b3ac9.jpeg</t>
  </si>
  <si>
    <t>1110256712662062360</t>
  </si>
  <si>
    <t>7412097ha</t>
  </si>
  <si>
    <t>Classic log cabin on river in Redstone.</t>
  </si>
  <si>
    <t>https://www.airbnb.com/rooms/20177266</t>
  </si>
  <si>
    <t>https://a0.muscache.com/im/pictures/b0ee717a-ccca-44ab-aac6-39891626433e.jpg</t>
  </si>
  <si>
    <t>Riverview Retreat</t>
  </si>
  <si>
    <t>https://www.airbnb.com/rooms/1152434246736444773</t>
  </si>
  <si>
    <t>https://a0.muscache.com/im/pictures/miso/Hosting-1152434246736444773/original/1f7eba97-bdaf-41e4-b4df-68849bb8d066.jpeg</t>
  </si>
  <si>
    <t>1152434246736444773</t>
  </si>
  <si>
    <t>Modern Industrial Condo w/Spectacular Sopris Views</t>
  </si>
  <si>
    <t>KEYLINK</t>
  </si>
  <si>
    <t>https://www.airbnb.com/rooms/53771631</t>
  </si>
  <si>
    <t>https://a0.muscache.com/im/pictures/58385add-7686-4963-ac8e-b096b0e2f6b0.jpg</t>
  </si>
  <si>
    <t>Red Door Hideout | D/T Carbondale, A/C, Lush Yard</t>
  </si>
  <si>
    <t>https://www.airbnb.com/rooms/53958463</t>
  </si>
  <si>
    <t>https://a0.muscache.com/im/pictures/prohost-api/Hosting-53958463/original/f16f575b-cb45-4315-a7d5-e569463fbcd4.jpeg</t>
  </si>
  <si>
    <t>River House w/ Hot Tub | 15min DT + Skiing</t>
  </si>
  <si>
    <t>https://www.airbnb.com/rooms/800810613021989778</t>
  </si>
  <si>
    <t>https://a0.muscache.com/im/pictures/miso/Hosting-800810613021989778/original/e2eb015f-9399-4600-8453-553eeed03b08.jpeg</t>
  </si>
  <si>
    <t>800810613021989778</t>
  </si>
  <si>
    <t>Cozy cottage near bus stop, skiing &amp; Aspen</t>
  </si>
  <si>
    <t>Tina W.</t>
  </si>
  <si>
    <t>Guest house</t>
  </si>
  <si>
    <t>https://www.airbnb.com/rooms/53940244</t>
  </si>
  <si>
    <t>https://a0.muscache.com/im/pictures/miso/Hosting-53940244/original/d72b18e6-5ca2-4840-9f06-e335cf8f2a39.png</t>
  </si>
  <si>
    <t>WATERFRONT &amp; Mt. Sopris VIEWS! Fly-fishing Custom Home, incl. 2 fishing badge</t>
  </si>
  <si>
    <t>https://www.vrbo.com/952599</t>
  </si>
  <si>
    <t>https://media.vrbo.com/lodging/34000000/33510000/33508200/33508114/w2700h1799x0y1-2ab93d11.jpg?impolicy=resizecrop&amp;rw=1200&amp;ra=fit</t>
  </si>
  <si>
    <t>Downtown Carbondale Treetop Escape | Treetop Haven</t>
  </si>
  <si>
    <t>Apartment</t>
  </si>
  <si>
    <t>https://www.airbnb.com/rooms/701363545909266990</t>
  </si>
  <si>
    <t>https://a0.muscache.com/im/pictures/prohost-api/Hosting-701363545909266990/original/42ae8a65-fa8f-44b6-aa98-e16bc7679851.jpeg</t>
  </si>
  <si>
    <t>701363545909266990</t>
  </si>
  <si>
    <t>Rustic 1BR Riverfront | Hot Tub | Balcony</t>
  </si>
  <si>
    <t>https://www.airbnb.com/rooms/33907972</t>
  </si>
  <si>
    <t>https://a0.muscache.com/im/pictures/prohost-api/Hosting-33907972/original/81fefbd1-3961-4288-b204-717d51c98eee.jpeg</t>
  </si>
  <si>
    <t>Remote Historic Cabin on Sunfire Ranch</t>
  </si>
  <si>
    <t>https://www.airbnb.com/rooms/770335047413300287</t>
  </si>
  <si>
    <t>https://a0.muscache.com/im/pictures/miso/Hosting-770335047413300287/original/1bd0e028-10a2-4d8a-9d83-ab0952d70255.jpeg</t>
  </si>
  <si>
    <t>770335047413300287</t>
  </si>
  <si>
    <t>Mountain Magic Chalet</t>
  </si>
  <si>
    <t>https://www.airbnb.com/rooms/887163938808160705</t>
  </si>
  <si>
    <t>https://a0.muscache.com/im/pictures/miso/Hosting-887163938808160705/original/c085890f-3aeb-4ceb-999b-908359e719ee.jpeg</t>
  </si>
  <si>
    <t>887163938808160705</t>
  </si>
  <si>
    <t>Cabin Situated on Crystal River, Fishermen's Dream</t>
  </si>
  <si>
    <t>https://www.airbnb.com/rooms/15480520</t>
  </si>
  <si>
    <t>https://a0.muscache.com/im/pictures/miso/Hosting-15480520/original/515de377-5a2e-4b91-97ef-be80e2aaa82c.jpeg</t>
  </si>
  <si>
    <t>Skiing 1BR Riverfront | Hot Tub | Balcony</t>
  </si>
  <si>
    <t>https://www.airbnb.com/rooms/22576471</t>
  </si>
  <si>
    <t>https://a0.muscache.com/im/pictures/prohost-api/Hosting-22576471/original/0801bd1e-ddb0-413f-aece-91e70eaf0c5b.jpeg</t>
  </si>
  <si>
    <t>Cozy 1BR Riverfront | Hot Tub | Balcony</t>
  </si>
  <si>
    <t>https://www.airbnb.com/rooms/16887690</t>
  </si>
  <si>
    <t>https://a0.muscache.com/im/pictures/prohost-api/Hosting-16887690/original/f879347e-9593-43ab-a1e2-9fa217456bbe.jpeg</t>
  </si>
  <si>
    <t>Yule Creek Lodge</t>
  </si>
  <si>
    <t>https://www.airbnb.com/rooms/17171302</t>
  </si>
  <si>
    <t>https://a0.muscache.com/im/pictures/38e443c2-223d-4eb2-93f0-4290ac05f88b.jpg?aki_policy=x_large</t>
  </si>
  <si>
    <t>Downtown Carbondale Parkside Retreat | Oasis</t>
  </si>
  <si>
    <t>https://www.airbnb.com/rooms/42926254</t>
  </si>
  <si>
    <t>https://a0.muscache.com/im/pictures/hosting/Hosting-42926254/original/299be7fe-02a0-4908-b83a-c74630cd9548.jpeg</t>
  </si>
  <si>
    <t>Unique Timber Frame mtn home in Marble, CO.</t>
  </si>
  <si>
    <t>https://www.airbnb.com/rooms/32870275</t>
  </si>
  <si>
    <t>https://a0.muscache.com/im/pictures/miso/Hosting-32870275/original/83f16db6-1e1f-4e83-9e0b-c8c18a520bb6.jpeg</t>
  </si>
  <si>
    <t>Ranch style home - walking distance to downtown Carbondale &amp; golf; 30 min skiing</t>
  </si>
  <si>
    <t>https://www.vrbo.com/3043703</t>
  </si>
  <si>
    <t>https://media.vrbo.com/lodging/88000000/87840000/87840000/87839963/26d32bb0.jpg?impolicy=resizecrop&amp;rw=1200&amp;ra=fit</t>
  </si>
  <si>
    <t>A Flyfisher's Dream!</t>
  </si>
  <si>
    <t>https://www.vrbo.com/895558</t>
  </si>
  <si>
    <t>https://media.vrbo.com/lodging/40000000/39960000/39953100/39953097/6c9d4e48.jpg?impolicy=resizecrop&amp;rw=1200&amp;ra=fit</t>
  </si>
  <si>
    <t>Sunny home w/panoramic views (entire 4/3)</t>
  </si>
  <si>
    <t>https://www.airbnb.com/rooms/2430366</t>
  </si>
  <si>
    <t>https://a0.muscache.com/im/pictures/a469b533-e291-48de-b567-d6cc6009a692.jpg</t>
  </si>
  <si>
    <t>Dwell Well on Main - Best Deck in Carbondale!</t>
  </si>
  <si>
    <t>https://www.airbnb.com/rooms/702193084589197912</t>
  </si>
  <si>
    <t>https://a0.muscache.com/im/pictures/prohost-api/Hosting-702193084589197912/original/b13783be-3cbf-4f3f-8995-271ba8a97ee5.jpeg</t>
  </si>
  <si>
    <t>702193084589197912</t>
  </si>
  <si>
    <t>Rocky Mountain Treehouse</t>
  </si>
  <si>
    <t>Treehouse</t>
  </si>
  <si>
    <t>Unique</t>
  </si>
  <si>
    <t>https://www.airbnb.com/rooms/5839043</t>
  </si>
  <si>
    <t>https://a0.muscache.com/im/pictures/6e945427-efd0-45c5-864f-08c2a4649388.jpg</t>
  </si>
  <si>
    <t>Mountain Zen Between Aspen &amp; Basalt.</t>
  </si>
  <si>
    <t>https://www.airbnb.com/rooms/1536337940528020795</t>
  </si>
  <si>
    <t>https://a0.muscache.com/im/pictures/hosting/Hosting-1536337940528020795/original/07d763e9-4e85-4a83-98fc-585b47242270.jpeg</t>
  </si>
  <si>
    <t>1536337940528020795</t>
  </si>
  <si>
    <t>Artful Mountain Retreat | Luxe Mid-Valley Estate</t>
  </si>
  <si>
    <t>https://www.airbnb.com/rooms/889122155201012767</t>
  </si>
  <si>
    <t>https://a0.muscache.com/im/pictures/prohost-api/Hosting-889122155201012767/original/991a7491-c861-467d-be40-e6a96f4765af.jpeg</t>
  </si>
  <si>
    <t>889122155201012767</t>
  </si>
  <si>
    <t>Sopris View</t>
  </si>
  <si>
    <t>https://www.airbnb.com/rooms/978821726326556634</t>
  </si>
  <si>
    <t>https://a0.muscache.com/im/pictures/miso/Hosting-978821726326556634/original/9c0bb79b-8d3f-4c2e-a43c-be959ffb36e2.jpeg</t>
  </si>
  <si>
    <t>978821726326556634</t>
  </si>
  <si>
    <t>Crystal River Nest | Where the River Meets Rest</t>
  </si>
  <si>
    <t>https://www.airbnb.com/rooms/35677191</t>
  </si>
  <si>
    <t>https://a0.muscache.com/im/pictures/9a117a2c-c8d9-403c-9b84-0156ef0a055c.jpg</t>
  </si>
  <si>
    <t>Penthouse Overlooking the Heart of Carbondale, CO</t>
  </si>
  <si>
    <t>https://www.vrbo.com/417823</t>
  </si>
  <si>
    <t>https://media.vrbo.com/lodging/28000000/27140000/27131000/27130950/43f5b27a.jpg?impolicy=resizecrop&amp;rw=1200&amp;ra=fit</t>
  </si>
  <si>
    <t>Luxury magical mountain compound</t>
  </si>
  <si>
    <t>https://www.airbnb.com/rooms/958645030241526428</t>
  </si>
  <si>
    <t>https://a0.muscache.com/im/pictures/miso/Hosting-958645030241526428/original/ac601b9d-4e85-42fd-ac31-c9641c13ebb6.jpeg</t>
  </si>
  <si>
    <t>958645030241526428</t>
  </si>
  <si>
    <t>Exclusive $5M Villa | Riverfront Near Aspen</t>
  </si>
  <si>
    <t>https://www.airbnb.com/rooms/1415278417022210084</t>
  </si>
  <si>
    <t>https://a0.muscache.com/im/pictures/prohost-api/Hosting-1415278417022210084/original/fe1b6af4-efba-43b4-ad70-5646169aaba0.jpeg</t>
  </si>
  <si>
    <t>1415278417022210084</t>
  </si>
  <si>
    <t>Stunning Newly Renovated 2BR Home 20 Min to Aspen</t>
  </si>
  <si>
    <t>Townhouse</t>
  </si>
  <si>
    <t>https://www.airbnb.com/rooms/649363588794734870</t>
  </si>
  <si>
    <t>https://a0.muscache.com/im/pictures/miso/Hosting-649363588794734870/original/effc1f60-3588-46d4-b139-f3491dcface7.jpeg</t>
  </si>
  <si>
    <t>649363588794734870</t>
  </si>
  <si>
    <t>Stargazing Mountain Escape Near Carbondale | Starlight</t>
  </si>
  <si>
    <t>Aspen Leisure Co.</t>
  </si>
  <si>
    <t>https://www.vrbo.com/4943735</t>
  </si>
  <si>
    <t>https://media.vrbo.com/lodging/123000000/122740000/122734600/122734593/8fd28044.jpg?impolicy=resizecrop&amp;rw=1200&amp;ra=fit</t>
  </si>
  <si>
    <t>1880 Log Cabin with Mountain View</t>
  </si>
  <si>
    <t>https://www.airbnb.com/rooms/946308559181632953</t>
  </si>
  <si>
    <t>https://a0.muscache.com/im/pictures/a3f5fcd3-b2ff-4a9a-881b-666752f2d6e8.jpg</t>
  </si>
  <si>
    <t>946308559181632953</t>
  </si>
  <si>
    <t>Basalt home in town close to slopes / restaurants</t>
  </si>
  <si>
    <t>https://www.airbnb.com/rooms/1308877263618037511</t>
  </si>
  <si>
    <t>https://a0.muscache.com/im/pictures/miso/Hosting-1308877263618037511/original/a6b8fab9-11aa-438b-b272-fe9199b528d4.jpeg</t>
  </si>
  <si>
    <t>1308877263618037511</t>
  </si>
  <si>
    <t>Modern Mountain New Build - 3 King Bedrooms, Salt Water Hot Tub - Amazing Views</t>
  </si>
  <si>
    <t>https://www.vrbo.com/3168327</t>
  </si>
  <si>
    <t>https://media.vrbo.com/lodging/91000000/90110000/90103500/90103434/ee827e83.jpg?impolicy=resizecrop&amp;rw=1200&amp;ra=fit</t>
  </si>
  <si>
    <t>Ranch at Roaring Fork Mid-Mod Cabin</t>
  </si>
  <si>
    <t>https://www.airbnb.com/rooms/1562546177630236463</t>
  </si>
  <si>
    <t>https://a0.muscache.com/im/pictures/hosting/Hosting-1562546177630236463/original/520d2338-74cc-40ec-be42-abf993757fbb.jpeg</t>
  </si>
  <si>
    <t>1562546177630236463</t>
  </si>
  <si>
    <t>Historic Cottage on Private Estate, Pool &amp; Tennis</t>
  </si>
  <si>
    <t>Cottage</t>
  </si>
  <si>
    <t>https://www.airbnb.com/rooms/30501957</t>
  </si>
  <si>
    <t>https://a0.muscache.com/im/pictures/hosting/Hosting-U3RheVN1cHBseUxpc3Rpbmc6MzA1MDE5NTc=/original/5362e3d7-5ea1-49d1-ae98-5fa61d752109.jpeg</t>
  </si>
  <si>
    <t>Spacious Home Near Aspen, Skiing, Hot Springs</t>
  </si>
  <si>
    <t>https://www.airbnb.com/rooms/53200054</t>
  </si>
  <si>
    <t>https://a0.muscache.com/im/pictures/miso/Hosting-53200054/original/2dcfc174-6121-403c-8faa-51532ea5b041.jpeg</t>
  </si>
  <si>
    <t>Chasing Rainbows</t>
  </si>
  <si>
    <t>https://www.airbnb.com/rooms/1330539356172192409</t>
  </si>
  <si>
    <t>https://a0.muscache.com/im/pictures/miso/Hosting-1330539356172192409/original/e5fa0394-6cd6-4b28-b8a2-003c8a66b144.jpeg</t>
  </si>
  <si>
    <t>1330539356172192409</t>
  </si>
  <si>
    <t>The Carriage House</t>
  </si>
  <si>
    <t>https://www.airbnb.com/rooms/1290160392007737794</t>
  </si>
  <si>
    <t>https://a0.muscache.com/im/pictures/miso/Hosting-1290160392007737794/original/8cb164f5-2e35-4eaa-98a1-07c6ed14add1.jpeg</t>
  </si>
  <si>
    <t>1290160392007737794</t>
  </si>
  <si>
    <t>World Famous Rocky Mountain Treehouse | Hot Tub</t>
  </si>
  <si>
    <t>https://www.airbnb.com/rooms/1468357111330270465</t>
  </si>
  <si>
    <t>https://a0.muscache.com/im/pictures/prohost-api/Hosting-1468357111330270465/original/26b7b75e-ed68-4594-84c7-3cee5d83298d.jpeg</t>
  </si>
  <si>
    <t>1468357111330270465</t>
  </si>
  <si>
    <t>Snowmass Base Whole House</t>
  </si>
  <si>
    <t>https://www.airbnb.com/rooms/52075773</t>
  </si>
  <si>
    <t>https://a0.muscache.com/im/pictures/miso/Hosting-51421086/original/74108d0d-c28a-49c0-9295-f3cc0cd84a4a.jpeg</t>
  </si>
  <si>
    <t>High West Treehouse – A Treetop Mountain Getaway</t>
  </si>
  <si>
    <t>https://www.airbnb.com/rooms/1571985816037509446</t>
  </si>
  <si>
    <t>https://a0.muscache.com/im/pictures/hosting/Hosting-1571985816037509446/original/14476dc3-1bbf-42b0-a12e-bc53495bd6b8.jpeg</t>
  </si>
  <si>
    <t>1571985816037509446</t>
  </si>
  <si>
    <t>Yarrow Log Cabin, Beaver Lake Lodge: Cabin 2</t>
  </si>
  <si>
    <t>https://www.airbnb.com/rooms/40617399</t>
  </si>
  <si>
    <t>https://a0.muscache.com/im/pictures/miso/Hosting-40617399/original/7148c5f5-22b4-4b16-8119-93521dac4b47.jpeg</t>
  </si>
  <si>
    <t>MTN Getaway w/King Suite, Deck w/Grill, near Dwtwn</t>
  </si>
  <si>
    <t>https://www.airbnb.com/rooms/1561718922228264371</t>
  </si>
  <si>
    <t>https://a0.muscache.com/im/pictures/hosting/Hosting-1561718922228264371/original/7cafb499-ffad-4e2a-831e-e02cdeb7c212.jpeg</t>
  </si>
  <si>
    <t>1561718922228264371</t>
  </si>
  <si>
    <t>Modern Riverside Escape</t>
  </si>
  <si>
    <t>https://www.airbnb.com/rooms/1403065572974131515</t>
  </si>
  <si>
    <t>https://a0.muscache.com/im/pictures/prohost-api/Hosting-1403065572974131515/original/c63d21bb-5386-4702-88f2-0f3078b143e6.jpeg</t>
  </si>
  <si>
    <t>1403065572974131515</t>
  </si>
  <si>
    <t>Authentic Log House with Fish Pond</t>
  </si>
  <si>
    <t>https://www.airbnb.com/rooms/1128883833989369624</t>
  </si>
  <si>
    <t>https://a0.muscache.com/im/pictures/hosting/Hosting-1128883833989369624/original/7f25d350-c2cd-48f1-8711-e87ef3b31c73.jpeg</t>
  </si>
  <si>
    <t>1128883833989369624</t>
  </si>
  <si>
    <t>Fly Fishing / Cdale Ranch@Roaring Fork Priv unit</t>
  </si>
  <si>
    <t>https://www.airbnb.com/rooms/20147683</t>
  </si>
  <si>
    <t>https://a0.muscache.com/im/pictures/miso/Hosting-20147683/original/35a497d4-d2a2-4527-a30d-0fc4911795d0.jpeg</t>
  </si>
  <si>
    <t>Luxury Tranquil Space by Snowmass Creek</t>
  </si>
  <si>
    <t>https://www.airbnb.com/rooms/13433864</t>
  </si>
  <si>
    <t>https://a0.muscache.com/im/pictures/3beba538-8534-44bb-b059-0975a6f65303.jpg</t>
  </si>
  <si>
    <t>Riverside Retreat | Redstone’s Refined Hideaway</t>
  </si>
  <si>
    <t>https://www.airbnb.com/rooms/1127636591749580044</t>
  </si>
  <si>
    <t>https://a0.muscache.com/im/pictures/prohost-api/Hosting-1127636591749580044/original/d6ac6d4f-6bb1-4cc3-9936-64ea12ae36c8.jpeg</t>
  </si>
  <si>
    <t>1127636591749580044</t>
  </si>
  <si>
    <t>Marble Mountain Retreat</t>
  </si>
  <si>
    <t>Chalet</t>
  </si>
  <si>
    <t>https://www.airbnb.com/rooms/25741218</t>
  </si>
  <si>
    <t>https://a0.muscache.com/im/pictures/cac7884c-3ae8-45eb-9320-e7fd6fe05e76.jpg</t>
  </si>
  <si>
    <t>NEW Low Elevation 2BR (10 min to Snowmass)Basalt</t>
  </si>
  <si>
    <t>https://www.airbnb.com/rooms/1539878888684132336</t>
  </si>
  <si>
    <t>https://a0.muscache.com/im/pictures/hosting/Hosting-1539878888684132336/original/eec5d5f3-f2f1-4174-be65-f99f5dd09240.png</t>
  </si>
  <si>
    <t>1539878888684132336</t>
  </si>
  <si>
    <t>Mountain-Modern Luxury Cabin above Marble, CO</t>
  </si>
  <si>
    <t>https://www.airbnb.com/rooms/18584645</t>
  </si>
  <si>
    <t>https://a0.muscache.com/im/pictures/f3a5e0f7-19fb-40a9-8171-87011138e20a.jpg</t>
  </si>
  <si>
    <t>Sun Splashed Townhouse with Mt Sopris Views!</t>
  </si>
  <si>
    <t>https://www.airbnb.com/rooms/1488610314076557682</t>
  </si>
  <si>
    <t>https://a0.muscache.com/im/pictures/13d07ebb-b71a-472f-87af-8b53432c5110.jpg</t>
  </si>
  <si>
    <t>1488610314076557682</t>
  </si>
  <si>
    <t>Marcellina - Large Log Cabin</t>
  </si>
  <si>
    <t>Somerset</t>
  </si>
  <si>
    <t>https://www.airbnb.com/rooms/757315754797585305</t>
  </si>
  <si>
    <t>https://a0.muscache.com/im/pictures/miso/Hosting-757315754797585305/original/30e414a2-d032-4fcf-bf06-98c7a79e2630.jpeg</t>
  </si>
  <si>
    <t>757315754797585305</t>
  </si>
  <si>
    <t>Safari tent #1 in “23 best Glamping Spots in U.S”</t>
  </si>
  <si>
    <t>Farm stay</t>
  </si>
  <si>
    <t>https://www.airbnb.com/rooms/13376549</t>
  </si>
  <si>
    <t>https://a0.muscache.com/im/pictures/fef6d59f-8094-4e40-b144-bfc96f0c3b2f.jpg</t>
  </si>
  <si>
    <t>Marble at its finest! 5 STAR Mtn Chalet views|wifi</t>
  </si>
  <si>
    <t>https://www.airbnb.com/rooms/43449332</t>
  </si>
  <si>
    <t>https://a0.muscache.com/im/pictures/b68ea866-2cce-4cce-9962-1f6509833099.jpg</t>
  </si>
  <si>
    <t>The Haven Loft – Luxe modern townhouse</t>
  </si>
  <si>
    <t>https://www.airbnb.com/rooms/552333415467372689</t>
  </si>
  <si>
    <t>https://a0.muscache.com/im/pictures/prohost-api/Hosting-552333415467372689/original/6c674243-ee1c-4801-a540-74c3d2dd34e6.jpeg</t>
  </si>
  <si>
    <t>552333415467372689</t>
  </si>
  <si>
    <t>Secluded Glamping Cabin Rental on a Working Ranch and Farm near Aspen and Maroon Bells, Colorado</t>
  </si>
  <si>
    <t>Glamping Hub International</t>
  </si>
  <si>
    <t>https://www.vrbo.com/4984393</t>
  </si>
  <si>
    <t>https://media.vrbo.com/lodging/124000000/123530000/123523600/123523589/313ff35e.jpg?impolicy=resizecrop&amp;rw=1200&amp;ra=fit</t>
  </si>
  <si>
    <t>“Safari Star Gazer Tent ” Glamping on our Farm</t>
  </si>
  <si>
    <t>https://www.airbnb.com/rooms/26740790</t>
  </si>
  <si>
    <t>https://a0.muscache.com/im/pictures/e998a9f4-86fc-46be-bfc5-1469d3a02c4c.jpg</t>
  </si>
  <si>
    <t>Elk Mountain Cabin, Beaver Lake Lodge: Cabin 10</t>
  </si>
  <si>
    <t>https://www.airbnb.com/rooms/1210996246129613406</t>
  </si>
  <si>
    <t>https://a0.muscache.com/im/pictures/hosting/Hosting-1210996246129613406/original/91bcf249-25d9-4308-b174-ce7dd808e125.jpeg</t>
  </si>
  <si>
    <t>1210996246129613406</t>
  </si>
  <si>
    <t>Private Cabin w/ River Views &amp; On-Site Wellness</t>
  </si>
  <si>
    <t>https://www.airbnb.com/rooms/53378526</t>
  </si>
  <si>
    <t>https://a0.muscache.com/im/pictures/miso/Hosting-53378526/original/f14ce883-8724-49bd-9e8e-7b5715112b3d.jpeg</t>
  </si>
  <si>
    <t>Dreamy Yurt “1 of 23 Best Glamping Spots in U.S”</t>
  </si>
  <si>
    <t>https://www.airbnb.com/rooms/13606656</t>
  </si>
  <si>
    <t>https://a0.muscache.com/im/pictures/32c55fa8-ebd2-4b70-a8b2-c73b2a932d77.jpg</t>
  </si>
  <si>
    <t>Downtown Basalt- Roaring Fork River Studio</t>
  </si>
  <si>
    <t>https://www.airbnb.com/rooms/726013306032705595</t>
  </si>
  <si>
    <t>https://a0.muscache.com/im/pictures/miso/Hosting-726013306032705595/original/b16cac76-3e3d-4a5f-a4ce-18c873d556bf.jpeg</t>
  </si>
  <si>
    <t>726013306032705595</t>
  </si>
  <si>
    <t>Classic Colorado cabin escape in Marble, Colorado</t>
  </si>
  <si>
    <t>https://www.airbnb.com/rooms/489153</t>
  </si>
  <si>
    <t>https://a0.muscache.com/im/pictures/hosting/Hosting-U3RheVN1cHBseUxpc3Rpbmc6NDg5MTUz/original/6bcb1839-9bf9-4ac8-ae82-0ad6630f6d9a.jpeg</t>
  </si>
  <si>
    <t>Serene Pondside Townhome w/ Views, Dog Friendly</t>
  </si>
  <si>
    <t>https://www.airbnb.com/rooms/1605360702130330297</t>
  </si>
  <si>
    <t>https://a0.muscache.com/im/pictures/hosting/Hosting-1605360702130330297/original/2ec28003-defa-438c-8c9c-b726cddb3f02.jpeg</t>
  </si>
  <si>
    <t>1605360702130330297</t>
  </si>
  <si>
    <t>sopris creekside sanctuary</t>
  </si>
  <si>
    <t>https://www.airbnb.com/rooms/1321299630743396277</t>
  </si>
  <si>
    <t>https://a0.muscache.com/im/pictures/miso/Hosting-1321299630743396277/original/36dc5e25-afd7-40ff-a75e-20e362af97d6.jpeg</t>
  </si>
  <si>
    <t>1321299630743396277</t>
  </si>
  <si>
    <t>Chateau Lang</t>
  </si>
  <si>
    <t>https://www.airbnb.com/rooms/1266214481658215128</t>
  </si>
  <si>
    <t>https://a0.muscache.com/im/pictures/miso/Hosting-1266214481658215128/original/993caadb-acfc-4dfd-b01e-ca298044ebcf.jpeg</t>
  </si>
  <si>
    <t>1266214481658215128</t>
  </si>
  <si>
    <t>Farmhouse on private beautiful ranch close to town</t>
  </si>
  <si>
    <t>https://www.airbnb.com/rooms/45202374</t>
  </si>
  <si>
    <t>https://a0.muscache.com/im/pictures/9164d2ef-b293-4b11-b426-03f5d25aa343.jpg</t>
  </si>
  <si>
    <t>20 min from Aspen 2bd 2.5ba + office townhouse</t>
  </si>
  <si>
    <t>https://www.airbnb.com/rooms/1583557478272735546</t>
  </si>
  <si>
    <t>https://a0.muscache.com/im/pictures/hosting/Hosting-1583557478272735546/original/857ab12b-d96a-4c1a-9d0f-39f270934e1f.jpeg</t>
  </si>
  <si>
    <t>1583557478272735546</t>
  </si>
  <si>
    <t>Oasis in peaceful Old Snowmass</t>
  </si>
  <si>
    <t>https://www.airbnb.com/rooms/44230907</t>
  </si>
  <si>
    <t>https://a0.muscache.com/im/pictures/miso/Hosting-44230907/original/c163e4ba-574c-4531-9b32-213e15755552.jpeg</t>
  </si>
  <si>
    <t>Southside Basalt</t>
  </si>
  <si>
    <t>https://www.airbnb.com/rooms/745618305092570417</t>
  </si>
  <si>
    <t>https://a0.muscache.com/im/pictures/hosting/Hosting-745618305092570417/original/f761c817-75b6-47fb-a8d5-7ab9eef12252.jpeg</t>
  </si>
  <si>
    <t>745618305092570417</t>
  </si>
  <si>
    <t>House of Joy: Primary Suite</t>
  </si>
  <si>
    <t>Private Room</t>
  </si>
  <si>
    <t>https://www.airbnb.com/rooms/26272996</t>
  </si>
  <si>
    <t>https://a0.muscache.com/im/pictures/4effffa1-b53a-4650-af5c-19b34fc65f2d.jpg</t>
  </si>
  <si>
    <t>The Glamping Butlers Luxury Airstream Adventures</t>
  </si>
  <si>
    <t>Camper/RV</t>
  </si>
  <si>
    <t>https://www.airbnb.com/rooms/1382584217655472134</t>
  </si>
  <si>
    <t>https://a0.muscache.com/im/pictures/hosting/Hosting-1382584217655472134/original/5913bfc8-0de3-4094-b40b-52865252f8b6.jpeg</t>
  </si>
  <si>
    <t>1382584217655472134</t>
  </si>
  <si>
    <t>Air-stream nr Aspen Only avail to Chalet Guests</t>
  </si>
  <si>
    <t>https://www.airbnb.com/rooms/1208783051481561285</t>
  </si>
  <si>
    <t>https://a0.muscache.com/im/pictures/miso/Hosting-1208783051481561285/original/b95965da-9041-4a4e-9e7c-a2177a592857.png</t>
  </si>
  <si>
    <t>1208783051481561285</t>
  </si>
  <si>
    <t>Modern Southside Duplex</t>
  </si>
  <si>
    <t>Christie'S Aspen Snowmass Rental Dept</t>
  </si>
  <si>
    <t>https://www.airbnb.com/rooms/1173274369133970398</t>
  </si>
  <si>
    <t>https://a0.muscache.com/im/pictures/miso/Hosting-1173274369133970398/original/1cc73af3-ed81-4453-a291-d1e1c7a4481c.jpeg</t>
  </si>
  <si>
    <t>1173274369133970398</t>
  </si>
  <si>
    <t>Mia's Oasis</t>
  </si>
  <si>
    <t>https://www.airbnb.com/rooms/753578958184288318</t>
  </si>
  <si>
    <t>https://a0.muscache.com/im/pictures/hosting/Hosting-753578958184288318/original/933af0ee-5fd5-4bb3-b2c4-09692555a0ba.jpeg</t>
  </si>
  <si>
    <t>753578958184288318</t>
  </si>
  <si>
    <t>Old Snowmass Slice of Paradise</t>
  </si>
  <si>
    <t>https://www.airbnb.com/rooms/1187833188056109244</t>
  </si>
  <si>
    <t>https://a0.muscache.com/im/pictures/miso/Hosting-1187833188056109244/original/9e47e7f8-51c9-42f2-8ad5-79da2f320d01.jpeg</t>
  </si>
  <si>
    <t>1187833188056109244</t>
  </si>
  <si>
    <t>Folk Home + Perch</t>
  </si>
  <si>
    <t>https://www.airbnb.com/rooms/1265252012710464882</t>
  </si>
  <si>
    <t>https://a0.muscache.com/im/pictures/ff55f9f9-cf97-4fb5-b24d-0d8033128995.jpg</t>
  </si>
  <si>
    <t>1265252012710464882</t>
  </si>
  <si>
    <t>Marble Riverfront Retreat | 2 Units, Pet Friendly</t>
  </si>
  <si>
    <t>https://www.airbnb.com/rooms/1414630090352679247</t>
  </si>
  <si>
    <t>https://a0.muscache.com/im/pictures/hosting/Hosting-U3RheVN1cHBseUxpc3Rpbmc6MTQxNDYzMDA5MDM1MjY3OTI0Nw==/original/2926dcc8-d1df-4ea0-bc96-72cddf2d18cd.png</t>
  </si>
  <si>
    <t>1414630090352679247</t>
  </si>
  <si>
    <t>Splendid house in Snowmass</t>
  </si>
  <si>
    <t>https://www.airbnb.com/rooms/1418816858231947568</t>
  </si>
  <si>
    <t>https://a0.muscache.com/im/pictures/hosting/Hosting-1418816858231947568/original/79e9a313-abef-4a0e-b923-8e892daa3878.jpeg</t>
  </si>
  <si>
    <t>1418816858231947568</t>
  </si>
  <si>
    <t>Panorama Mountain Abode</t>
  </si>
  <si>
    <t>https://www.airbnb.com/rooms/15799887</t>
  </si>
  <si>
    <t>https://a0.muscache.com/im/pictures/142adb85-0000-4831-9654-3592a61b3491.jpg</t>
  </si>
  <si>
    <t>Stylish family/couples and pet friendly home</t>
  </si>
  <si>
    <t>https://www.airbnb.com/rooms/15872791</t>
  </si>
  <si>
    <t>https://a0.muscache.com/im/pictures/bc86edec-5c27-4dac-809d-7e76faa3b863.jpg</t>
  </si>
  <si>
    <t>Charming Creekside Snowmass Studio: 15 Mi to Aspen</t>
  </si>
  <si>
    <t>Loft</t>
  </si>
  <si>
    <t>https://www.airbnb.com/rooms/18446761</t>
  </si>
  <si>
    <t>https://a0.muscache.com/im/pictures/prohost-api/Hosting-18446761/original/9daf4de0-7ec0-4e36-8e6b-2486cac83ea9.jpeg</t>
  </si>
  <si>
    <t>4319008ha</t>
  </si>
  <si>
    <t>Roaring Fork Chalet - With Deck &amp; Mountain Views!</t>
  </si>
  <si>
    <t>https://www.airbnb.com/rooms/47257319</t>
  </si>
  <si>
    <t>https://a0.muscache.com/im/pictures/miso/Hosting-47257319/original/8903062f-1355-4180-b545-f3f4ad1cc2bb.jpeg</t>
  </si>
  <si>
    <t>This is a scam!</t>
  </si>
  <si>
    <t>https://www.airbnb.com/rooms/52379492</t>
  </si>
  <si>
    <t>https://a0.muscache.com/im/pictures/miso/Hosting-52379492/original/164c7265-5186-4d6a-8bfa-e12662545c35.png</t>
  </si>
  <si>
    <t>Home with Mtn views in Roaring Fork (Aspen) Valley</t>
  </si>
  <si>
    <t>https://www.airbnb.com/rooms/52720120</t>
  </si>
  <si>
    <t>https://a0.muscache.com/im/pictures/miso/Hosting-52720120/original/84874c52-e4b4-4ac3-ae65-f55f0ee5514f.jpeg</t>
  </si>
  <si>
    <t>Modern Mtn New Build Comfort, Near Aspen Skiing</t>
  </si>
  <si>
    <t>https://www.airbnb.com/rooms/53543566</t>
  </si>
  <si>
    <t>https://a0.muscache.com/im/pictures/8a735e7f-9d01-416b-8849-e01d96ea7605.jpg</t>
  </si>
  <si>
    <t>Cheerful 2 bedroom home with mountain views</t>
  </si>
  <si>
    <t>https://www.airbnb.com/rooms/585998474331000758</t>
  </si>
  <si>
    <t>https://a0.muscache.com/im/pictures/9771a8c0-103e-4480-8ae8-8e1a31a09636.jpg</t>
  </si>
  <si>
    <t>585998474331000758</t>
  </si>
  <si>
    <t>Sopris Oasis-Stunning Views on. 16 Private Acres</t>
  </si>
  <si>
    <t>https://www.airbnb.com/rooms/619826198376333775</t>
  </si>
  <si>
    <t>https://a0.muscache.com/im/pictures/miso/Hosting-619826198376333775/original/48138363-c54c-47a3-90fb-4fbdb0330b1f.jpeg</t>
  </si>
  <si>
    <t>619826198376333775</t>
  </si>
  <si>
    <t>Summer in the Beautiful Aspen Valley!</t>
  </si>
  <si>
    <t>https://www.airbnb.com/rooms/633593365860541016</t>
  </si>
  <si>
    <t>https://a0.muscache.com/im/pictures/hosting/Hosting-U3RheVN1cHBseUxpc3Rpbmc6NjMzNTkzMzY1ODYwNTQxMDE2/original/a68a167d-6bbb-42f7-92f7-4fad7fbfbcff.jpeg</t>
  </si>
  <si>
    <t>633593365860541016</t>
  </si>
  <si>
    <t>Unique, Charming Zen Property with great valley views</t>
  </si>
  <si>
    <t>https://www.vrbo.com/2327548</t>
  </si>
  <si>
    <t>https://media.vrbo.com/lodging/69000000/68100000/68095400/68095378/e107fc40.jpg?impolicy=resizecrop&amp;rw=1200&amp;ra=fit</t>
  </si>
  <si>
    <t>Stunning Southside Duplex available for Winter Season!</t>
  </si>
  <si>
    <t>https://www.vrbo.com/3691633</t>
  </si>
  <si>
    <t>https://media.vrbo.com/lodging/101000000/100140000/100135100/100135037/50e1d3d7.jpg?impolicy=resizecrop&amp;rw=1200&amp;ra=fit</t>
  </si>
  <si>
    <t>4-bedroom estate in superb private Jack Nicklaus resort community. Aspen CO</t>
  </si>
  <si>
    <t>https://www.vrbo.com/4129877</t>
  </si>
  <si>
    <t>https://media.vrbo.com/lodging/108000000/107450000/107441400/107441395/8f57b96f.jpg?impolicy=resizecrop&amp;rw=1200&amp;ra=fit</t>
  </si>
  <si>
    <t>Mountain Lodge Oasis | 6BR w/ Hot Tub Near Aspen</t>
  </si>
  <si>
    <t>Black Opal Home Charters</t>
  </si>
  <si>
    <t>https://www.airbnb.com/rooms/53775012</t>
  </si>
  <si>
    <t>https://a0.muscache.com/im/pictures/prohost-api/Hosting-53775012/original/cb189e21-c34e-4791-88d8-80c72fece8c5.jpeg</t>
  </si>
  <si>
    <t>9638118ha</t>
  </si>
  <si>
    <t>RiverfrontEscape, A/C, MediaRm, 5mi to Hot Springs</t>
  </si>
  <si>
    <t>https://www.airbnb.com/rooms/51341759</t>
  </si>
  <si>
    <t>https://a0.muscache.com/im/pictures/prohost-api/Hosting-51341759/original/1a2cfb3e-10f6-483c-a0d8-f2693e1fab56.jpeg</t>
  </si>
  <si>
    <t>Celebrity inspired mountain retreat close to Aspen</t>
  </si>
  <si>
    <t>https://www.airbnb.com/rooms/828917536017958391</t>
  </si>
  <si>
    <t>https://a0.muscache.com/im/pictures/miso/Hosting-828917536017958391/original/3e4bd473-ccb6-404b-8e4d-54fa79fd5cbb.jpeg</t>
  </si>
  <si>
    <t>828917536017958391</t>
  </si>
  <si>
    <t>Best View in Glenwood Springs Hot Tub + Game Room</t>
  </si>
  <si>
    <t>https://www.airbnb.com/rooms/47133861</t>
  </si>
  <si>
    <t>https://a0.muscache.com/im/pictures/miso/Hosting-47133861/original/03c5f0d5-ad29-4f7d-ad31-c8e8e11a3edd.jpeg</t>
  </si>
  <si>
    <t>Hot Tub &amp; Sauna, Firepit, Patio, Views, Romantic</t>
  </si>
  <si>
    <t>https://www.airbnb.com/rooms/1185412033137574849</t>
  </si>
  <si>
    <t>https://a0.muscache.com/im/pictures/hosting/Hosting-1185412033137574849/original/c86990c5-330d-4f72-b7cd-1c9c0b95f82b.jpeg</t>
  </si>
  <si>
    <t>1185412033137574849</t>
  </si>
  <si>
    <t>Aspen Chalet - Hot Tub, Views, Pets, 7Acre, Luxe</t>
  </si>
  <si>
    <t>https://www.airbnb.com/rooms/774828146150991363</t>
  </si>
  <si>
    <t>https://a0.muscache.com/im/pictures/miso/Hosting-774828146150991363/original/d921d824-2723-4f53-a7f5-a4b808559292.jpeg</t>
  </si>
  <si>
    <t>774828146150991363</t>
  </si>
  <si>
    <t>Mountain Views, Sauna, Hot Tub, Pets, Patio Dining</t>
  </si>
  <si>
    <t>https://www.airbnb.com/rooms/47979644</t>
  </si>
  <si>
    <t>https://a0.muscache.com/im/pictures/hosting/Hosting-U3RheVN1cHBseUxpc3Rpbmc6NDc5Nzk2NDQ%3D/original/86aa15d7-2731-420d-bc55-9bbb4448b266.jpeg</t>
  </si>
  <si>
    <t>750 acres, great for 30 people or less, 2 homes!</t>
  </si>
  <si>
    <t>Gypsum</t>
  </si>
  <si>
    <t>https://www.airbnb.com/rooms/1341456233798226612</t>
  </si>
  <si>
    <t>https://a0.muscache.com/im/pictures/hosting/Hosting-U3RheVN1cHBseUxpc3Rpbmc6MTM0MTQ1NjIzMzc5ODIyNjYxMg%3D%3D/original/d15bd464-6415-4c78-8f55-d7753f6f88a5.jpeg</t>
  </si>
  <si>
    <t>1341456233798226612</t>
  </si>
  <si>
    <t>SOHOTreehouse!WÅTERFrontBasecampHikeFishSkiHOTub</t>
  </si>
  <si>
    <t>https://www.airbnb.com/rooms/923224949745386519</t>
  </si>
  <si>
    <t>https://a0.muscache.com/im/pictures/hosting/Hosting-U3RheVN1cHBseUxpc3Rpbmc6OTIzMjI0OTQ5NzQ1Mzg2NTE5/original/122c2a2b-4d34-4b83-b47c-28301d331550.jpeg</t>
  </si>
  <si>
    <t>923224949745386519</t>
  </si>
  <si>
    <t>Modern Mountain View Retreat</t>
  </si>
  <si>
    <t>https://www.airbnb.com/rooms/763038523833937355</t>
  </si>
  <si>
    <t>https://a0.muscache.com/im/pictures/miso/Hosting-763038523833937355/original/6ef20922-09f6-4784-8e1e-88b6b443d6f0.jpeg</t>
  </si>
  <si>
    <t>763038523833937355</t>
  </si>
  <si>
    <t>Spring Creek Estate near Aspen, CO</t>
  </si>
  <si>
    <t>https://www.airbnb.com/rooms/7873948</t>
  </si>
  <si>
    <t>https://a0.muscache.com/im/pictures/100294278/3cd58830_original.jpg</t>
  </si>
  <si>
    <t>Hot Tub, Fire-Pit on the River w/ Mountain Views!</t>
  </si>
  <si>
    <t>https://www.airbnb.com/rooms/54167037</t>
  </si>
  <si>
    <t>https://a0.muscache.com/im/pictures/miso/Hosting-54167037/original/b4f13ae0-a57a-4789-805a-1c2ecdfc10e3.jpeg</t>
  </si>
  <si>
    <t>Basalt Estate Hot Tub &amp; Sopris Views | The Ridge</t>
  </si>
  <si>
    <t>https://www.airbnb.com/rooms/1554536505026755516</t>
  </si>
  <si>
    <t>https://a0.muscache.com/im/pictures/prohost-api/Hosting-1554536505026755516/original/35643e32-f1e1-4da1-9a68-24cbc241ff0e.jpeg</t>
  </si>
  <si>
    <t>1554536505026755516</t>
  </si>
  <si>
    <t>$2 Million Modern Basalt Home Frying Pan River</t>
  </si>
  <si>
    <t>https://www.airbnb.com/rooms/46217145</t>
  </si>
  <si>
    <t>https://a0.muscache.com/im/pictures/miso/Hosting-46217145/original/04cd05d4-1678-40e1-9c10-0eb89e4c7242.jpeg</t>
  </si>
  <si>
    <t>Exquisite Modern Home W/ Pond, Hot Tub, Near Aspen</t>
  </si>
  <si>
    <t>https://www.airbnb.com/rooms/39444731</t>
  </si>
  <si>
    <t>https://a0.muscache.com/im/pictures/47ebfabd-9f4a-4c63-b22d-73677e083a49.jpg</t>
  </si>
  <si>
    <t>Luxury 35-Acre Retreat w/ Hot Tub &amp; Amazing Views</t>
  </si>
  <si>
    <t>https://www.airbnb.com/rooms/42758767</t>
  </si>
  <si>
    <t>https://a0.muscache.com/im/pictures/miso/Hosting-42758767/original/0936e250-0db1-4ccc-8c9d-4dce74e7b768.jpeg</t>
  </si>
  <si>
    <t>Beautiful Home in Willits!</t>
  </si>
  <si>
    <t>https://www.airbnb.com/rooms/31619967</t>
  </si>
  <si>
    <t>https://a0.muscache.com/im/pictures/miso/Hosting-31619967/original/287ee1b9-b49c-4365-b8ee-a53d917c7c8d.jpeg</t>
  </si>
  <si>
    <t>No Name Haus, dog friendly, hot tub, canyon views</t>
  </si>
  <si>
    <t>https://www.airbnb.com/rooms/25780785</t>
  </si>
  <si>
    <t>https://a0.muscache.com/im/pictures/miso/Hosting-25780785/original/c5497604-a3ac-4bf1-a6fd-b504dff90f77.jpeg</t>
  </si>
  <si>
    <t>Luxurious Willits Loft Getaway</t>
  </si>
  <si>
    <t>https://www.airbnb.com/rooms/898690866389316347</t>
  </si>
  <si>
    <t>https://a0.muscache.com/im/pictures/miso/Hosting-898690866389316347/original/f114238a-4bc5-4f32-8408-d615b89d268c.png</t>
  </si>
  <si>
    <t>898690866389316347</t>
  </si>
  <si>
    <t>Modern Valley Escape w/ Deck &amp; Gym | Mountain</t>
  </si>
  <si>
    <t>https://www.airbnb.com/rooms/660170366711320057</t>
  </si>
  <si>
    <t>https://a0.muscache.com/im/pictures/prohost-api/Hosting-660170366711320057/original/e4a94e5b-e9a1-4bc4-961f-63ba17644d27.jpeg</t>
  </si>
  <si>
    <t>660170366711320057</t>
  </si>
  <si>
    <t>Beautiful &amp; Spacious Basalt Home w/ Mountain Views</t>
  </si>
  <si>
    <t>https://www.airbnb.com/rooms/1160968888286689135</t>
  </si>
  <si>
    <t>https://a0.muscache.com/im/pictures/miso/Hosting-1160968888286689135/original/e1347488-9fb4-4b59-bc91-61e4a303fcb3.jpeg</t>
  </si>
  <si>
    <t>1160968888286689135</t>
  </si>
  <si>
    <t>Luxury Modern Mountain Home!</t>
  </si>
  <si>
    <t>https://www.airbnb.com/rooms/1368998141741096352</t>
  </si>
  <si>
    <t>https://a0.muscache.com/im/pictures/hosting/Hosting-U3RheVN1cHBseUxpc3Rpbmc6MTM2ODk5ODE0MTc0MTA5NjM1Mg==/original/937f9aac-ef2c-4414-992c-1a147918e0fd.jpeg</t>
  </si>
  <si>
    <t>1368998141741096352</t>
  </si>
  <si>
    <t>Aspen Hideaway - Hot Tub, Views, Pets, 7Acre, Luxe</t>
  </si>
  <si>
    <t>https://www.airbnb.com/rooms/777504125335775636</t>
  </si>
  <si>
    <t>https://a0.muscache.com/im/pictures/miso/Hosting-777504125335775636/original/f8630834-912e-47ec-8475-b6d1e7c21863.png</t>
  </si>
  <si>
    <t>777504125335775636</t>
  </si>
  <si>
    <t>Glenwood Springs Vacation Home 23-013</t>
  </si>
  <si>
    <t>https://www.airbnb.com/rooms/935588588102507179</t>
  </si>
  <si>
    <t>https://a0.muscache.com/im/pictures/633e2ab7-44ca-4ac1-81a4-f53cd3e2d38b.jpg</t>
  </si>
  <si>
    <t>935588588102507179</t>
  </si>
  <si>
    <t>Windance Cabin, Private Beach on 750 Acres For You</t>
  </si>
  <si>
    <t>https://www.airbnb.com/rooms/41154347</t>
  </si>
  <si>
    <t>https://a0.muscache.com/im/pictures/f86a3b7d-7df7-4c65-a45b-fc72960cbdbc.jpg</t>
  </si>
  <si>
    <t>1 Bedroom Plus Entire Peaceful Home</t>
  </si>
  <si>
    <t>https://www.airbnb.com/rooms/51850334</t>
  </si>
  <si>
    <t>https://a0.muscache.com/im/pictures/hosting/Hosting-51850334/original/e360ecf8-e77b-48f5-b88e-91106f590252.jpeg</t>
  </si>
  <si>
    <t>The Riverfront Oasis with indoor/outdoor Jacuzzis</t>
  </si>
  <si>
    <t>https://www.airbnb.com/rooms/53766003</t>
  </si>
  <si>
    <t>https://a0.muscache.com/im/pictures/033ef5b2-ce48-4949-b0ae-442f2782b6b3.jpg</t>
  </si>
  <si>
    <t>Luxury MTN Home, Incredible Views! 24 Mi. to Aspen</t>
  </si>
  <si>
    <t>https://www.airbnb.com/rooms/24965331</t>
  </si>
  <si>
    <t>https://a0.muscache.com/im/pictures/ba7cae0b-8920-4dfe-ba1f-369a462d2bf0.jpg</t>
  </si>
  <si>
    <t>Close to Ski Resorts, Walk to Town</t>
  </si>
  <si>
    <t>https://www.airbnb.com/rooms/15649942</t>
  </si>
  <si>
    <t>https://a0.muscache.com/im/pictures/hosting/Hosting-15649942/original/906f8b46-9bdc-4d7b-8b07-f50d876ae0e8.jpeg</t>
  </si>
  <si>
    <t>Modern Home w/ Rooftop Deck &amp; Gym | Mid-Valley</t>
  </si>
  <si>
    <t>https://www.airbnb.com/rooms/610114342835163551</t>
  </si>
  <si>
    <t>https://a0.muscache.com/im/pictures/prohost-api/Hosting-610114342835163551/original/43be84f6-b411-4dd7-b12b-068e26365516.jpeg</t>
  </si>
  <si>
    <t>610114342835163551</t>
  </si>
  <si>
    <t>Charming Miner's Cottage Downtown Glenwood Springs</t>
  </si>
  <si>
    <t>https://www.airbnb.com/rooms/1136169976093009229</t>
  </si>
  <si>
    <t>https://a0.muscache.com/im/pictures/miso/Hosting-1136169976093009229/original/b462913f-35fa-46b3-abb4-af579f47225a.jpeg</t>
  </si>
  <si>
    <t>1136169976093009229</t>
  </si>
  <si>
    <t>Riverfront Luxury Cabin on the Frying Pan River</t>
  </si>
  <si>
    <t>https://www.airbnb.com/rooms/18424609</t>
  </si>
  <si>
    <t>https://a0.muscache.com/im/pictures/ae5e7ae7-83b2-4553-97b2-22f78c9d83d4.jpg?aki_policy=x_large</t>
  </si>
  <si>
    <t>Lazy Bear Cabin</t>
  </si>
  <si>
    <t>https://www.airbnb.com/rooms/612438897812210626</t>
  </si>
  <si>
    <t>https://a0.muscache.com/im/pictures/miso/Hosting-612438897812210626/original/22abec8c-52ff-467b-9e8e-b4ca3efd0857.jpeg</t>
  </si>
  <si>
    <t>612438897812210626</t>
  </si>
  <si>
    <t>IMPECCIBLE MODERN LOFT IN BASALT</t>
  </si>
  <si>
    <t>https://www.airbnb.com/rooms/12302216</t>
  </si>
  <si>
    <t>https://a0.muscache.com/im/pictures/9e0a5cc8-970a-429a-904a-93b20f8a900f.jpg</t>
  </si>
  <si>
    <t>One of a kind hilltop estate in Aspen Valley!</t>
  </si>
  <si>
    <t>https://www.airbnb.com/rooms/1141959613472715530</t>
  </si>
  <si>
    <t>https://a0.muscache.com/im/pictures/hosting/Hosting-U3RheVN1cHBseUxpc3Rpbmc6MTE0MTk1OTYxMzQ3MjcxNTUzMA%3D%3D/original/65acf350-1f58-4b86-919a-fbbd2e3ad5b4.png</t>
  </si>
  <si>
    <t>1141959613472715530</t>
  </si>
  <si>
    <t>Mountain Modern Cabin | River Access to Frying Pan</t>
  </si>
  <si>
    <t>https://www.airbnb.com/rooms/1384171970031690200</t>
  </si>
  <si>
    <t>https://a0.muscache.com/im/pictures/miso/Hosting-1384171970031690200/original/4c214ee8-f5fb-485d-a978-018f89d40317.jpeg</t>
  </si>
  <si>
    <t>1384171970031690200</t>
  </si>
  <si>
    <t>Beautiful Willits Home-minutes from Aspen</t>
  </si>
  <si>
    <t>https://www.airbnb.com/rooms/819657419447837201</t>
  </si>
  <si>
    <t>https://a0.muscache.com/im/pictures/miso/Hosting-819657419447837201/original/d6e9b16a-df1f-4602-9b65-1c8a715aa66f.jpeg</t>
  </si>
  <si>
    <t>819657419447837201</t>
  </si>
  <si>
    <t>Lovely contemporary home, sleeps 10</t>
  </si>
  <si>
    <t>https://www.airbnb.com/rooms/1204434394596645279</t>
  </si>
  <si>
    <t>https://a0.muscache.com/im/pictures/miso/Hosting-1204434394596645279/original/1d4c33b6-11bd-4802-85da-63122fae2854.jpeg</t>
  </si>
  <si>
    <t>1204434394596645279</t>
  </si>
  <si>
    <t>HUGE VIEWS + LUX Finishes Outside Aspen</t>
  </si>
  <si>
    <t>https://www.vrbo.com/3515194</t>
  </si>
  <si>
    <t>https://media.vrbo.com/lodging/97000000/96160000/96153700/96153675/127acdf3.jpg?impolicy=resizecrop&amp;rw=1200&amp;ra=fit</t>
  </si>
  <si>
    <t>Riverside Retreat</t>
  </si>
  <si>
    <t>https://www.airbnb.com/rooms/1434371759076862549</t>
  </si>
  <si>
    <t>https://a0.muscache.com/im/pictures/hosting/Hosting-1434371759076862549/original/ae6652a2-fb31-462e-8658-7027bffc74e0.jpeg</t>
  </si>
  <si>
    <t>1434371759076862549</t>
  </si>
  <si>
    <t>River Nest Resort</t>
  </si>
  <si>
    <t>Silt</t>
  </si>
  <si>
    <t>https://www.airbnb.com/rooms/52186921</t>
  </si>
  <si>
    <t>https://a0.muscache.com/im/pictures/miso/Hosting-52186921/original/4da43eb0-2b20-484b-8486-7aa3055a655d.jpeg</t>
  </si>
  <si>
    <t>Superior Location!  Basalt/Aspen - Entire Home</t>
  </si>
  <si>
    <t>https://www.airbnb.com/rooms/994268542472395487</t>
  </si>
  <si>
    <t>https://a0.muscache.com/im/pictures/miso/Hosting-994268542472395487/original/c34ccc77-4d45-439a-961e-1f06fb1fde42.jpeg</t>
  </si>
  <si>
    <t>994268542472395487</t>
  </si>
  <si>
    <t>Designer Mountain Home Outside Aspen!</t>
  </si>
  <si>
    <t>https://www.airbnb.com/rooms/1553789977170182341</t>
  </si>
  <si>
    <t>https://a0.muscache.com/im/pictures/hosting/Hosting-1553789977170182341/original/6cca0c7d-0e66-4cef-a0ab-08bb0bf8f23d.png</t>
  </si>
  <si>
    <t>1553789977170182341</t>
  </si>
  <si>
    <t>Cool Down in Your Summer Basecamp Near Aspen</t>
  </si>
  <si>
    <t>https://www.airbnb.com/rooms/1088108843816978847</t>
  </si>
  <si>
    <t>https://a0.muscache.com/im/pictures/hosting/Hosting-1088108843816978847/original/7dbb87e9-71c7-456f-acd3-641aa537a93f.jpeg</t>
  </si>
  <si>
    <t>1088108843816978847</t>
  </si>
  <si>
    <t>Mountain Victorian+Heart of Downtown+Kitchen+Yard!</t>
  </si>
  <si>
    <t>PONDEROSA LODGE</t>
  </si>
  <si>
    <t>https://www.airbnb.com/rooms/20859098</t>
  </si>
  <si>
    <t>https://a0.muscache.com/im/pictures/fb580362-67e6-4724-8a2b-06848ea86b21.jpg</t>
  </si>
  <si>
    <t>Modern home near Basalt</t>
  </si>
  <si>
    <t>https://www.vrbo.com/3323495</t>
  </si>
  <si>
    <t>https://media.vrbo.com/lodging/93000000/92340000/92338200/92338120/17c6d85d.jpg?impolicy=resizecrop&amp;rw=1200&amp;ra=fit</t>
  </si>
  <si>
    <t>Mountain House Near Aspen</t>
  </si>
  <si>
    <t>https://www.airbnb.com/rooms/1275372588171031959</t>
  </si>
  <si>
    <t>https://a0.muscache.com/im/pictures/miso/Hosting-1275372588171031959/original/308fbc07-deae-48fc-950b-9cd155e35fa9.jpeg</t>
  </si>
  <si>
    <t>1275372588171031959</t>
  </si>
  <si>
    <t>Mountain Escape | Hot Tub, Views Near Basalt/Aspen</t>
  </si>
  <si>
    <t>https://www.airbnb.com/rooms/1546447042491424271</t>
  </si>
  <si>
    <t>https://a0.muscache.com/im/pictures/hosting/Hosting-1546447042491424271/original/7c9eb680-d85e-47a5-af6f-a2a6eb2ddd46.png</t>
  </si>
  <si>
    <t>1546447042491424271</t>
  </si>
  <si>
    <t>New Modern Farmhouse - A beautiful vacation home in the heart of historic Basalt</t>
  </si>
  <si>
    <t>https://www.vrbo.com/2709038</t>
  </si>
  <si>
    <t>https://media.vrbo.com/lodging/77000000/76430000/76428600/76428573/9d6e1a2e.jpg?impolicy=resizecrop&amp;rw=1200&amp;ra=fit</t>
  </si>
  <si>
    <t>Unique Downtown Basalt Cottage</t>
  </si>
  <si>
    <t>https://www.airbnb.com/rooms/1298061855942408518</t>
  </si>
  <si>
    <t>https://a0.muscache.com/im/pictures/miso/Hosting-1298061855942408518/original/fa8c5cde-9d2e-4377-a6fc-73300aa4b65e.jpeg</t>
  </si>
  <si>
    <t>1298061855942408518</t>
  </si>
  <si>
    <t>Historic Log Cabin downtown Basalt, Aspen Skiing</t>
  </si>
  <si>
    <t>https://www.airbnb.com/rooms/913211058348614331</t>
  </si>
  <si>
    <t>https://a0.muscache.com/im/pictures/hosting/Hosting-U3RheVN1cHBseUxpc3Rpbmc6OTEzMjExMDU4MzQ4NjE0MzMx/original/b0c73e79-9569-4db4-bd9d-9127afaec1ca.jpeg</t>
  </si>
  <si>
    <t>913211058348614331</t>
  </si>
  <si>
    <t>Mountain Top Grain Bin Romantic</t>
  </si>
  <si>
    <t>New Castle</t>
  </si>
  <si>
    <t>https://www.airbnb.com/rooms/1329089761898009974</t>
  </si>
  <si>
    <t>https://a0.muscache.com/im/pictures/hosting/Hosting-1329089761898009974/original/18e19905-9363-4cc7-a45c-e6160a235941.jpeg</t>
  </si>
  <si>
    <t>1329089761898009974</t>
  </si>
  <si>
    <t xml:space="preserve">Ideally located, well equipped condo in Basalt's Willits town center.  </t>
  </si>
  <si>
    <t>https://www.vrbo.com/3101857</t>
  </si>
  <si>
    <t>https://media.vrbo.com/lodging/89000000/88970000/88966200/88966182/c7e2292d.jpg?impolicy=resizecrop&amp;rw=1200&amp;ra=fit</t>
  </si>
  <si>
    <t>Piñon Hollow | Retreat w/ Hot Tub &amp; Mtn Views</t>
  </si>
  <si>
    <t>https://www.airbnb.com/rooms/645615906249337710</t>
  </si>
  <si>
    <t>https://a0.muscache.com/im/pictures/prohost-api/Hosting-645615906249337710/original/207f8aef-e83a-4f0a-8bea-c1882e63deed.jpeg</t>
  </si>
  <si>
    <t>645615906249337710</t>
  </si>
  <si>
    <t>Fabulous Roaring Fork Home</t>
  </si>
  <si>
    <t>https://www.airbnb.com/rooms/1095236516286243542</t>
  </si>
  <si>
    <t>https://a0.muscache.com/im/pictures/hosting/Hosting-U3RheVN1cHBseUxpc3Rpbmc6MTA5NTIzNjUxNjI4NjI0MzU0Mg%3D%3D/original/9f87c04f-4ec6-46d1-a3c0-79c16fe98e75.jpeg</t>
  </si>
  <si>
    <t>1095236516286243542</t>
  </si>
  <si>
    <t>Pet Friendly Contemporary Ranch Home with Stunning Views on Main Elk Creek!</t>
  </si>
  <si>
    <t>https://www.vrbo.com/2888607</t>
  </si>
  <si>
    <t>https://media.vrbo.com/lodging/83000000/82940000/82934500/82934487/9083862d.jpg?impolicy=resizecrop&amp;rw=1200&amp;ra=fit</t>
  </si>
  <si>
    <t>Roaring Fork River Charm</t>
  </si>
  <si>
    <t>https://www.airbnb.com/rooms/1280059132825894532</t>
  </si>
  <si>
    <t>https://a0.muscache.com/im/pictures/hosting/Hosting-1280059132825894532/original/702dbeaa-5982-4e47-b710-e1a6ed2397a1.jpeg</t>
  </si>
  <si>
    <t>1280059132825894532</t>
  </si>
  <si>
    <t>Lavender Lodge Riverside Mountain Cabin</t>
  </si>
  <si>
    <t>https://www.airbnb.com/rooms/1505804591129055197</t>
  </si>
  <si>
    <t>https://a0.muscache.com/im/pictures/hosting/Hosting-1505804591129055197/original/e1bba9f4-ac29-409c-a30b-01a4e68eab95.jpeg</t>
  </si>
  <si>
    <t>1505804591129055197</t>
  </si>
  <si>
    <t>Creek Cottage, Firepit Patio, Hot Tub, Sauna, Bike</t>
  </si>
  <si>
    <t>https://www.airbnb.com/rooms/1529731603783674979</t>
  </si>
  <si>
    <t>https://a0.muscache.com/im/pictures/hosting/Hosting-1529731603783674979/original/10259202-bfe4-433f-ac94-8052f968c99d.jpeg</t>
  </si>
  <si>
    <t>1529731603783674979</t>
  </si>
  <si>
    <t>Sleeps 16, Secluded 7BDR Retreat | Elkstone Lodge</t>
  </si>
  <si>
    <t>AvantStay</t>
  </si>
  <si>
    <t>https://www.airbnb.com/rooms/1577172417651213767</t>
  </si>
  <si>
    <t>https://a0.muscache.com/im/pictures/prohost-api/Hosting-1577172417651213767/original/af67708c-2dcf-4dfa-b304-49a0f29f0535.jpeg</t>
  </si>
  <si>
    <t>1577172417651213767</t>
  </si>
  <si>
    <t>Flat Tops Ranch. Off Grid Cabin on the Flat Tops</t>
  </si>
  <si>
    <t>Rifle</t>
  </si>
  <si>
    <t>https://www.airbnb.com/rooms/53792954</t>
  </si>
  <si>
    <t>https://a0.muscache.com/im/pictures/acf5afbb-32b2-4ef7-8a3f-2c57b2db2158.jpg</t>
  </si>
  <si>
    <t>Riverside Unit on the Frying Pan</t>
  </si>
  <si>
    <t>https://www.airbnb.com/rooms/1313274855082539762</t>
  </si>
  <si>
    <t>https://a0.muscache.com/im/pictures/hosting/Hosting-U3RheVN1cHBseUxpc3Rpbmc6MTMxMzI3NDg1NTA4MjUzOTc2Mg%3D%3D/original/2ecc3353-2aff-4ca6-afd9-7287b8c69340.jpeg</t>
  </si>
  <si>
    <t>1313274855082539762</t>
  </si>
  <si>
    <t>Ski Snowmass/Aspen &amp; Stay Luxury Carbondale Home</t>
  </si>
  <si>
    <t>https://www.airbnb.com/rooms/821030758831471759</t>
  </si>
  <si>
    <t>https://a0.muscache.com/im/pictures/miso/Hosting-821030758831471759/original/768e81fd-6a0c-46c3-bcb3-51cfdfc55c39.jpeg</t>
  </si>
  <si>
    <t>821030758831471759</t>
  </si>
  <si>
    <t>Old Town Garden Suite,  Basalt</t>
  </si>
  <si>
    <t>Guest suite</t>
  </si>
  <si>
    <t>https://www.airbnb.com/rooms/27549821</t>
  </si>
  <si>
    <t>https://a0.muscache.com/im/pictures/e7666d9e-d133-42d5-afbc-320a73dc6499.jpg</t>
  </si>
  <si>
    <t>Dazzling New Remodel+Kitchen #5</t>
  </si>
  <si>
    <t>https://www.airbnb.com/rooms/1186655923127869559</t>
  </si>
  <si>
    <t>https://a0.muscache.com/im/pictures/prohost-api/Hosting-1186655923127869559/original/8dc03bfe-113c-4db7-9370-d9747732d00d.jpeg</t>
  </si>
  <si>
    <t>1186655923127869559</t>
  </si>
  <si>
    <t>Old Town Basalt Guest House</t>
  </si>
  <si>
    <t>https://www.vrbo.com/1649226</t>
  </si>
  <si>
    <t>https://media.vrbo.com/lodging/38000000/37900000/37891400/37891352/6f3846c3.jpg?impolicy=resizecrop&amp;rw=1200&amp;ra=fit</t>
  </si>
  <si>
    <t>Modern Barn Apt w/Fireplace &amp; Grill, 6 mi. 2 Ski!</t>
  </si>
  <si>
    <t>https://www.airbnb.com/rooms/826195059732409974</t>
  </si>
  <si>
    <t>https://a0.muscache.com/im/pictures/miso/Hosting-826195059732409974/original/70483942-8e0a-4848-bb01-3a21e15e73cb.jpeg</t>
  </si>
  <si>
    <t>826195059732409974</t>
  </si>
  <si>
    <t>Roaring Fork Retreat w/ Large Yard | Deer Run</t>
  </si>
  <si>
    <t>https://www.airbnb.com/rooms/1323293445921293324</t>
  </si>
  <si>
    <t>https://a0.muscache.com/im/pictures/prohost-api/Hosting-1323293445921293324/original/30d1f26c-7b11-424d-ab50-589600c4f3e0.jpeg</t>
  </si>
  <si>
    <t>1323293445921293324</t>
  </si>
  <si>
    <t>Cozy 1-Bedroom at Aspenalt Lodge</t>
  </si>
  <si>
    <t>https://www.airbnb.com/rooms/1369661662069021121</t>
  </si>
  <si>
    <t>https://a0.muscache.com/im/pictures/hosting/Hosting-U3RheVN1cHBseUxpc3Rpbmc6MTM2OTY2MTY2MjA2OTAyMTEyMQ==/original/91baf940-fbc5-4d3f-a41b-23d96289df43.jpeg</t>
  </si>
  <si>
    <t>1369661662069021121</t>
  </si>
  <si>
    <t>Cabin Riverfront View and Access</t>
  </si>
  <si>
    <t>https://www.airbnb.com/rooms/1467538560939262260</t>
  </si>
  <si>
    <t>https://a0.muscache.com/im/pictures/hosting/Hosting-1467538560939262260/original/1b637e24-9a89-460f-8e2d-6d36b1449b03.jpeg</t>
  </si>
  <si>
    <t>1467538560939262260</t>
  </si>
  <si>
    <t>Aspen Lodge - Luxe, Central, Family &amp; Pets</t>
  </si>
  <si>
    <t>https://www.airbnb.com/rooms/1586994181759763636</t>
  </si>
  <si>
    <t>https://a0.muscache.com/im/pictures/prohost-api/Hosting-1586994181759763636/original/a71d306b-eafd-43f2-97c2-44fbd81c85d0.jpeg</t>
  </si>
  <si>
    <t>1586994181759763636</t>
  </si>
  <si>
    <t>Cozy ADU in the Heart of Willits</t>
  </si>
  <si>
    <t>https://www.airbnb.com/rooms/1347505559084587155</t>
  </si>
  <si>
    <t>https://a0.muscache.com/im/pictures/miso/Hosting-1347505559084587155/original/97d75922-4344-4e8d-a13c-43372926e734.jpeg</t>
  </si>
  <si>
    <t>1347505559084587155</t>
  </si>
  <si>
    <t>Aspen Valley Snow Cube</t>
  </si>
  <si>
    <t>Tiny house</t>
  </si>
  <si>
    <t>https://www.airbnb.com/rooms/1366027771208803189</t>
  </si>
  <si>
    <t>https://a0.muscache.com/im/pictures/hosting/Hosting-1366027771208803189/original/56943394-8f42-4e36-b64b-3204b7be0950.jpeg</t>
  </si>
  <si>
    <t>1366027771208803189</t>
  </si>
  <si>
    <t>Lumen Airstream Retreat | RAFT|Ski|HIKE ΩHottubΩ</t>
  </si>
  <si>
    <t>https://www.airbnb.com/rooms/797840325726271990</t>
  </si>
  <si>
    <t>https://a0.muscache.com/im/pictures/miso/Hosting-797840325726271990/original/0b1e60da-ee1a-428f-8aa6-03c27fd221ff.png?ml=true</t>
  </si>
  <si>
    <t>797840325726271990</t>
  </si>
  <si>
    <t>https://www.airbnb.com/rooms/1313278911919678743</t>
  </si>
  <si>
    <t>1313278911919678743</t>
  </si>
  <si>
    <t>Aspen Valley Glass Villa and SnowCube No Pet Fee</t>
  </si>
  <si>
    <t>https://www.airbnb.com/rooms/22567476</t>
  </si>
  <si>
    <t>https://a0.muscache.com/im/pictures/hosting/Hosting-22567476/original/26e9f3f2-20f3-4c2b-9567-db086e1133b6.jpeg</t>
  </si>
  <si>
    <t>Downtown Holliday House</t>
  </si>
  <si>
    <t>https://www.airbnb.com/rooms/1471147514652552056</t>
  </si>
  <si>
    <t>https://a0.muscache.com/im/pictures/hosting/Hosting-1471147514652552056/original/ac498457-6df4-4f45-9eae-facd1a00fe5f.jpeg</t>
  </si>
  <si>
    <t>1471147514652552056</t>
  </si>
  <si>
    <t>Themed MovieRm, Hot Tub,2Fireplaces, InFloorHeating, EZ Drive Aspen &amp;hot springs</t>
  </si>
  <si>
    <t>https://www.vrbo.com/4948473</t>
  </si>
  <si>
    <t>https://media.vrbo.com/lodging/123000000/122860000/122858300/122858214/w1200h1279x0y0-12b7e322.jpg?impolicy=resizecrop&amp;rw=1200&amp;ra=fit</t>
  </si>
  <si>
    <t>Blue Creek House</t>
  </si>
  <si>
    <t>https://www.airbnb.com/rooms/24264947</t>
  </si>
  <si>
    <t>https://a0.muscache.com/im/pictures/3d7f058f-b42e-4e13-af43-404863b9ca91.jpg</t>
  </si>
  <si>
    <t xml:space="preserve">Remodeled Penthouse in the heart of Downtown Basalt, historic 1900's Building </t>
  </si>
  <si>
    <t>https://www.vrbo.com/2151975</t>
  </si>
  <si>
    <t>https://media.vrbo.com/lodging/62000000/61620000/61614400/61614333/78fb8d2e.jpg?impolicy=resizecrop&amp;rw=1200&amp;ra=fit</t>
  </si>
  <si>
    <t>Lumen Airstream Retreat RaftHIKE ΩHottubΩ</t>
  </si>
  <si>
    <t>https://www.airbnb.com/rooms/1439476297918948493</t>
  </si>
  <si>
    <t>https://a0.muscache.com/im/pictures/miso/Hosting-1439476297918948493/original/e1891bbf-1fcd-417f-84b0-db9c08b8db5a.jpeg</t>
  </si>
  <si>
    <t>1439476297918948493</t>
  </si>
  <si>
    <t>Country-Lux- Ski-House on Frying Pan River in Basalt close to Aspen</t>
  </si>
  <si>
    <t>Farmhouse</t>
  </si>
  <si>
    <t>https://www.vrbo.com/2696923</t>
  </si>
  <si>
    <t>Lux Riverside Basecamp |HikeFishSkiRaft|Waterfront</t>
  </si>
  <si>
    <t>https://www.airbnb.com/rooms/1082061300046868302</t>
  </si>
  <si>
    <t>https://a0.muscache.com/im/pictures/miso/Hosting-1082061300046868302/original/3b1a3260-c3af-4fe8-9424-938e7cedfc99.jpeg</t>
  </si>
  <si>
    <t>1082061300046868302</t>
  </si>
  <si>
    <t>Stylish Mountain Suite in Basalt</t>
  </si>
  <si>
    <t>https://www.airbnb.com/rooms/1435136103988666235</t>
  </si>
  <si>
    <t>https://a0.muscache.com/im/pictures/miso/Hosting-1435136103988666235/original/86fe5aec-9842-4c2e-b210-70f4291c9102.jpeg</t>
  </si>
  <si>
    <t>1435136103988666235</t>
  </si>
  <si>
    <t>Aspen Valley Glass House</t>
  </si>
  <si>
    <t>https://www.airbnb.com/rooms/1200079517170756971</t>
  </si>
  <si>
    <t>https://a0.muscache.com/im/pictures/hosting/Hosting-1200079517170756971/original/425aba2d-1a53-42be-880e-45f8158029d7.jpeg</t>
  </si>
  <si>
    <t>1200079517170756971</t>
  </si>
  <si>
    <t>Roaring Fork Riverfront Mid-Valley Aspen</t>
  </si>
  <si>
    <t>https://www.vrbo.com/3176824ha</t>
  </si>
  <si>
    <t>https://media.vrbo.com/lodging/35000000/34850000/34843100/34843038/5444fd17.jpg?impolicy=resizecrop&amp;rw=1200&amp;ra=fit</t>
  </si>
  <si>
    <t>3176824ha</t>
  </si>
  <si>
    <t>Aspen-Area | Luxe 1BR - Central to Everything</t>
  </si>
  <si>
    <t>https://www.airbnb.com/rooms/16160536</t>
  </si>
  <si>
    <t>https://a0.muscache.com/im/pictures/f9a19f9e-4ad5-4165-a446-732421cc1a9d.jpg</t>
  </si>
  <si>
    <t>Mountain Chalet Bordering White River Nat'l Forest</t>
  </si>
  <si>
    <t>https://www.airbnb.com/rooms/1413775827872063311</t>
  </si>
  <si>
    <t>https://a0.muscache.com/im/pictures/prohost-api/Hosting-1413775827872063311/original/7aa1567d-f29c-4653-9451-917dce6a5c8b.jpeg</t>
  </si>
  <si>
    <t>1413775827872063311</t>
  </si>
  <si>
    <t>20145258ha</t>
  </si>
  <si>
    <t>Glenwood Canyon Estate Private Creek/Luxe Spa/Pool</t>
  </si>
  <si>
    <t>https://www.airbnb.com/rooms/555803458596176255</t>
  </si>
  <si>
    <t>https://a0.muscache.com/im/pictures/hosting/Hosting-555803458596176255/original/488406b6-ffda-485d-8ffd-f335a195a713.jpeg</t>
  </si>
  <si>
    <t>555803458596176255</t>
  </si>
  <si>
    <t>Comfy LakeHouse 30 mins to Aspen</t>
  </si>
  <si>
    <t>https://www.airbnb.com/rooms/16504959</t>
  </si>
  <si>
    <t>https://a0.muscache.com/im/pictures/miso/Hosting-16504959/original/f8ce5443-712b-4d20-9d0a-8b0e4db3c2a7.jpeg</t>
  </si>
  <si>
    <t>Alone on a Mountain yet close to food and shops!</t>
  </si>
  <si>
    <t>https://www.airbnb.com/rooms/1627864318821290219</t>
  </si>
  <si>
    <t>https://a0.muscache.com/im/pictures/hosting/Hosting-1627864318821290219/original/fc6e244d-36f9-4635-9463-a17dc0497e99.jpeg</t>
  </si>
  <si>
    <t>1627864318821290219</t>
  </si>
  <si>
    <t>1 Of A Kind Cozy Mountain Retreat Boasting A+ Location And Breathtaking Views.</t>
  </si>
  <si>
    <t>https://www.vrbo.com/4525678</t>
  </si>
  <si>
    <t>https://media.vrbo.com/lodging/115000000/114770000/114763900/114763817/139e890f.jpg?impolicy=resizecrop&amp;rw=1200&amp;ra=fit</t>
  </si>
  <si>
    <t>Stunning top floor loft condo close to town</t>
  </si>
  <si>
    <t>https://www.airbnb.com/rooms/662905559832189345</t>
  </si>
  <si>
    <t>https://a0.muscache.com/im/pictures/miso/Hosting-662905559832189345/original/d65fd3ce-ce4d-4de5-a364-fe0e30fef791.jpeg</t>
  </si>
  <si>
    <t>662905559832189345</t>
  </si>
  <si>
    <t>Elevated Hideaway | Deck w/ Valley Views, Hot Tub</t>
  </si>
  <si>
    <t>https://www.airbnb.com/rooms/978342531011472342</t>
  </si>
  <si>
    <t>https://a0.muscache.com/im/pictures/prohost-api/Hosting-978342531011472342/original/0071d7e1-691d-4b82-a3d9-f37424f2a593.jpeg</t>
  </si>
  <si>
    <t>978342531011472342</t>
  </si>
  <si>
    <t>Summit &amp; Sky Loft | A/C, Fireplace, Terrace</t>
  </si>
  <si>
    <t>https://www.airbnb.com/rooms/1290752161833242421</t>
  </si>
  <si>
    <t>https://a0.muscache.com/im/pictures/prohost-api/Hosting-1290752161833242421/original/87d7efb9-9685-45e8-a679-f1b2cf465fd9.jpeg</t>
  </si>
  <si>
    <t>1290752161833242421</t>
  </si>
  <si>
    <t>Escape to a Cozy Log Cabin with Mountain Views</t>
  </si>
  <si>
    <t>https://www.airbnb.com/rooms/1139841851780286690</t>
  </si>
  <si>
    <t>https://a0.muscache.com/im/pictures/hosting/Hosting-U3RheVN1cHBseUxpc3Rpbmc6MTEzOTg0MTg1MTc4MDI4NjY5MA%3D%3D/original/55dac42b-f2d9-499a-8741-672495c388f6.jpeg</t>
  </si>
  <si>
    <t>1139841851780286690</t>
  </si>
  <si>
    <t>2-bdrm getaway between the famous mtns of aspen and the hotsprings of Glenwood</t>
  </si>
  <si>
    <t>https://www.vrbo.com/5039607</t>
  </si>
  <si>
    <t>https://media.vrbo.com/lodging/125000000/124830000/124822400/124822341/54cde4fa.jpg?impolicy=resizecrop&amp;rw=1200&amp;ra=fit</t>
  </si>
  <si>
    <t>The Cabin at Ruedi Shores</t>
  </si>
  <si>
    <t>https://www.airbnb.com/rooms/1263190969048974107</t>
  </si>
  <si>
    <t>https://a0.muscache.com/im/pictures/miso/Hosting-1263190969048974107/original/fd2283d6-21c5-4f6c-a85a-1cbd76009039.jpeg</t>
  </si>
  <si>
    <t>1263190969048974107</t>
  </si>
  <si>
    <t>Aspen Vacation</t>
  </si>
  <si>
    <t>https://www.airbnb.com/rooms/1304006359880452795</t>
  </si>
  <si>
    <t>https://a0.muscache.com/im/pictures/miso/Hosting-1304006359880452795/original/4dd11826-e888-47cf-9669-98ba7a9642d3.jpeg</t>
  </si>
  <si>
    <t>1304006359880452795</t>
  </si>
  <si>
    <t>Frying Pan Valley Vista | Walk to Basalt + Views</t>
  </si>
  <si>
    <t>https://www.airbnb.com/rooms/1176866619702300538</t>
  </si>
  <si>
    <t>https://a0.muscache.com/im/pictures/prohost-api/Hosting-1176866619702300538/original/04985822-d785-4982-94d3-c04bc328890e.jpeg</t>
  </si>
  <si>
    <t>1176866619702300538</t>
  </si>
  <si>
    <t>Basalt 4H's Ranch, views &amp; hot tub!</t>
  </si>
  <si>
    <t>https://www.airbnb.com/rooms/1013771125523775050</t>
  </si>
  <si>
    <t>https://a0.muscache.com/im/pictures/miso/Hosting-1013771125523775050/original/2a76dcdc-1b87-48a5-a8d5-3fc946e76257.jpeg</t>
  </si>
  <si>
    <t>1013771125523775050</t>
  </si>
  <si>
    <t>Eagles Nest at Sweetwater</t>
  </si>
  <si>
    <t>https://www.airbnb.com/rooms/1045232295254923683</t>
  </si>
  <si>
    <t>https://a0.muscache.com/im/pictures/miso/Hosting-1045232295254923683/original/e00f5cac-8a5f-4817-951d-e798cca73ca6.jpeg</t>
  </si>
  <si>
    <t>1045232295254923683</t>
  </si>
  <si>
    <t>Little Oasis</t>
  </si>
  <si>
    <t>https://www.airbnb.com/rooms/1152376946517407977</t>
  </si>
  <si>
    <t>https://a0.muscache.com/im/pictures/hosting/Hosting-U3RheVN1cHBseUxpc3Rpbmc6MTE1MjM3Njk0NjUxNzQwNzk3Nw%3D%3D/original/970d500b-173e-4631-b06b-20b62b121e8c.jpeg</t>
  </si>
  <si>
    <t>1152376946517407977</t>
  </si>
  <si>
    <t>Aspen Lodge, Luxury, Central, Family &amp; Pets!</t>
  </si>
  <si>
    <t>https://www.airbnb.com/rooms/1303727133311393461</t>
  </si>
  <si>
    <t>https://a0.muscache.com/im/pictures/prohost-api/Hosting-1303727133311393461/original/0da10ec6-746b-4aa7-b298-a982c4511eb4.jpeg</t>
  </si>
  <si>
    <t>1303727133311393461</t>
  </si>
  <si>
    <t>RUEDI CREEK JEWEL! (Ruedi Reservoir Basalt)</t>
  </si>
  <si>
    <t>Yurt</t>
  </si>
  <si>
    <t>https://www.airbnb.com/rooms/19549806</t>
  </si>
  <si>
    <t>https://a0.muscache.com/im/pictures/hosting/Hosting-19549806/original/81b07ac1-b5e1-4c2a-acc4-db949cb20e3f.jpeg</t>
  </si>
  <si>
    <t>Basalt Apartment with View - Close to Whole Foods</t>
  </si>
  <si>
    <t>https://www.airbnb.com/rooms/24597604</t>
  </si>
  <si>
    <t>https://a0.muscache.com/im/pictures/d381649c-5e22-4e68-b2fd-f1fbe2c7b8c3.jpg?aki_policy=x_large</t>
  </si>
  <si>
    <t>Creekside Oasis in Glenwood Springs</t>
  </si>
  <si>
    <t>https://www.airbnb.com/rooms/28159901</t>
  </si>
  <si>
    <t>https://a0.muscache.com/im/pictures/b229dde8-079a-40fe-b506-0c48b7f14e79.jpg</t>
  </si>
  <si>
    <t>Amazing Views, Close Restaurants (25 min to Aspen)</t>
  </si>
  <si>
    <t>https://www.airbnb.com/rooms/39942730</t>
  </si>
  <si>
    <t>https://a0.muscache.com/im/pictures/miso/Hosting-39942730/original/24ca7827-539f-4ba7-9262-7837bab092cb.jpeg</t>
  </si>
  <si>
    <t>Unique cozy rental near it all !</t>
  </si>
  <si>
    <t>https://www.airbnb.com/rooms/766180360760581890</t>
  </si>
  <si>
    <t>https://a0.muscache.com/im/pictures/miso/Hosting-766180360760581890/original/c380e248-1d00-4401-bfea-649f330aafa0.jpeg</t>
  </si>
  <si>
    <t>766180360760581890</t>
  </si>
  <si>
    <t>RFV Lodge with Spectacular Views</t>
  </si>
  <si>
    <t>https://www.airbnb.com/rooms/876945084327890428</t>
  </si>
  <si>
    <t>https://a0.muscache.com/im/pictures/miso/Hosting-876945084327890428/original/b9f1c6fd-bc4a-4a5d-a707-30495962e3df.jpeg?aki_policy=x_large</t>
  </si>
  <si>
    <t>876945084327890428</t>
  </si>
  <si>
    <t>Rustic Modern Home in Historic Basalt</t>
  </si>
  <si>
    <t>https://www.vrbo.com/2497783</t>
  </si>
  <si>
    <t>https://media.vrbo.com/lodging/72000000/71730000/71723200/71723146/486159c5.jpg?impolicy=resizecrop&amp;rw=1200&amp;ra=fit</t>
  </si>
  <si>
    <t>The Polo House. Cozy Ralph Lauren Design</t>
  </si>
  <si>
    <t>https://www.vrbo.com/3127235</t>
  </si>
  <si>
    <t>https://media.vrbo.com/lodging/90000000/89520000/89512100/89512053/f9606d68.jpg?impolicy=resizecrop&amp;rw=1200&amp;ra=fit</t>
  </si>
  <si>
    <t>Aspen Valley Glass House with Views</t>
  </si>
  <si>
    <t>https://www.vrbo.com/4099583</t>
  </si>
  <si>
    <t>https://media.vrbo.com/lodging/107000000/106920000/106920000/106919902/4fe56964.jpg?impolicy=resizecrop&amp;rw=1200&amp;ra=fit</t>
  </si>
  <si>
    <t>https://www.vrbo.com/4451723</t>
  </si>
  <si>
    <t>https://media.vrbo.com/lodging/114000000/113390000/113382400/113382375/a14e104d.jpg?impolicy=resizecrop&amp;rw=1200&amp;ra=fit</t>
  </si>
  <si>
    <t>Mountain Adventure Retreat Near Aspen &amp; Snowmass</t>
  </si>
  <si>
    <t>https://www.vrbo.com/5069368</t>
  </si>
  <si>
    <t>https://media.vrbo.com/lodging/126000000/125440000/125437200/125437132/4016ae3b.jpg?impolicy=resizecrop&amp;rw=1200&amp;ra=fit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</si>
</sst>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-d"/>
    <numFmt numFmtId="165" formatCode="yyyy-mm-dd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90" Type="http://schemas.openxmlformats.org/officeDocument/2006/relationships/hyperlink" Target="https://a0.muscache.com/im/pictures/hosting/Hosting-1605360702130330297/original/2ec28003-defa-438c-8c9c-b726cddb3f02.jpeg" TargetMode="External"/><Relationship Id="rId194" Type="http://schemas.openxmlformats.org/officeDocument/2006/relationships/hyperlink" Target="https://a0.muscache.com/im/pictures/miso/Hosting-1266214481658215128/original/993caadb-acfc-4dfd-b01e-ca298044ebcf.jpeg" TargetMode="External"/><Relationship Id="rId193" Type="http://schemas.openxmlformats.org/officeDocument/2006/relationships/hyperlink" Target="https://www.airbnb.com/rooms/1266214481658215128" TargetMode="External"/><Relationship Id="rId192" Type="http://schemas.openxmlformats.org/officeDocument/2006/relationships/hyperlink" Target="https://a0.muscache.com/im/pictures/miso/Hosting-1321299630743396277/original/36dc5e25-afd7-40ff-a75e-20e362af97d6.jpeg" TargetMode="External"/><Relationship Id="rId191" Type="http://schemas.openxmlformats.org/officeDocument/2006/relationships/hyperlink" Target="https://www.airbnb.com/rooms/1321299630743396277" TargetMode="External"/><Relationship Id="rId187" Type="http://schemas.openxmlformats.org/officeDocument/2006/relationships/hyperlink" Target="https://www.airbnb.com/rooms/489153" TargetMode="External"/><Relationship Id="rId186" Type="http://schemas.openxmlformats.org/officeDocument/2006/relationships/hyperlink" Target="https://a0.muscache.com/im/pictures/miso/Hosting-726013306032705595/original/b16cac76-3e3d-4a5f-a4ce-18c873d556bf.jpeg" TargetMode="External"/><Relationship Id="rId185" Type="http://schemas.openxmlformats.org/officeDocument/2006/relationships/hyperlink" Target="https://www.airbnb.com/rooms/726013306032705595" TargetMode="External"/><Relationship Id="rId184" Type="http://schemas.openxmlformats.org/officeDocument/2006/relationships/hyperlink" Target="https://a0.muscache.com/im/pictures/32c55fa8-ebd2-4b70-a8b2-c73b2a932d77.jpg" TargetMode="External"/><Relationship Id="rId189" Type="http://schemas.openxmlformats.org/officeDocument/2006/relationships/hyperlink" Target="https://www.airbnb.com/rooms/1605360702130330297" TargetMode="External"/><Relationship Id="rId188" Type="http://schemas.openxmlformats.org/officeDocument/2006/relationships/hyperlink" Target="https://a0.muscache.com/im/pictures/hosting/Hosting-U3RheVN1cHBseUxpc3Rpbmc6NDg5MTUz/original/6bcb1839-9bf9-4ac8-ae82-0ad6630f6d9a.jpeg" TargetMode="External"/><Relationship Id="rId183" Type="http://schemas.openxmlformats.org/officeDocument/2006/relationships/hyperlink" Target="https://www.airbnb.com/rooms/13606656" TargetMode="External"/><Relationship Id="rId182" Type="http://schemas.openxmlformats.org/officeDocument/2006/relationships/hyperlink" Target="https://a0.muscache.com/im/pictures/miso/Hosting-53378526/original/f14ce883-8724-49bd-9e8e-7b5715112b3d.jpeg" TargetMode="External"/><Relationship Id="rId181" Type="http://schemas.openxmlformats.org/officeDocument/2006/relationships/hyperlink" Target="https://www.airbnb.com/rooms/53378526" TargetMode="External"/><Relationship Id="rId180" Type="http://schemas.openxmlformats.org/officeDocument/2006/relationships/hyperlink" Target="https://a0.muscache.com/im/pictures/hosting/Hosting-1210996246129613406/original/91bcf249-25d9-4308-b174-ce7dd808e125.jpeg" TargetMode="External"/><Relationship Id="rId176" Type="http://schemas.openxmlformats.org/officeDocument/2006/relationships/hyperlink" Target="https://media.vrbo.com/lodging/124000000/123530000/123523600/123523589/313ff35e.jpg?impolicy=resizecrop&amp;rw=1200&amp;ra=fit" TargetMode="External"/><Relationship Id="rId297" Type="http://schemas.openxmlformats.org/officeDocument/2006/relationships/hyperlink" Target="https://www.airbnb.com/rooms/51850334" TargetMode="External"/><Relationship Id="rId175" Type="http://schemas.openxmlformats.org/officeDocument/2006/relationships/hyperlink" Target="https://www.vrbo.com/4984393" TargetMode="External"/><Relationship Id="rId296" Type="http://schemas.openxmlformats.org/officeDocument/2006/relationships/hyperlink" Target="https://a0.muscache.com/im/pictures/f86a3b7d-7df7-4c65-a45b-fc72960cbdbc.jpg" TargetMode="External"/><Relationship Id="rId174" Type="http://schemas.openxmlformats.org/officeDocument/2006/relationships/hyperlink" Target="https://a0.muscache.com/im/pictures/prohost-api/Hosting-552333415467372689/original/6c674243-ee1c-4801-a540-74c3d2dd34e6.jpeg" TargetMode="External"/><Relationship Id="rId295" Type="http://schemas.openxmlformats.org/officeDocument/2006/relationships/hyperlink" Target="https://www.airbnb.com/rooms/41154347" TargetMode="External"/><Relationship Id="rId173" Type="http://schemas.openxmlformats.org/officeDocument/2006/relationships/hyperlink" Target="https://www.airbnb.com/rooms/552333415467372689" TargetMode="External"/><Relationship Id="rId294" Type="http://schemas.openxmlformats.org/officeDocument/2006/relationships/hyperlink" Target="https://a0.muscache.com/im/pictures/633e2ab7-44ca-4ac1-81a4-f53cd3e2d38b.jpg" TargetMode="External"/><Relationship Id="rId179" Type="http://schemas.openxmlformats.org/officeDocument/2006/relationships/hyperlink" Target="https://www.airbnb.com/rooms/1210996246129613406" TargetMode="External"/><Relationship Id="rId178" Type="http://schemas.openxmlformats.org/officeDocument/2006/relationships/hyperlink" Target="https://a0.muscache.com/im/pictures/e998a9f4-86fc-46be-bfc5-1469d3a02c4c.jpg" TargetMode="External"/><Relationship Id="rId299" Type="http://schemas.openxmlformats.org/officeDocument/2006/relationships/hyperlink" Target="https://www.airbnb.com/rooms/53766003" TargetMode="External"/><Relationship Id="rId177" Type="http://schemas.openxmlformats.org/officeDocument/2006/relationships/hyperlink" Target="https://www.airbnb.com/rooms/26740790" TargetMode="External"/><Relationship Id="rId298" Type="http://schemas.openxmlformats.org/officeDocument/2006/relationships/hyperlink" Target="https://a0.muscache.com/im/pictures/hosting/Hosting-51850334/original/e360ecf8-e77b-48f5-b88e-91106f590252.jpeg" TargetMode="External"/><Relationship Id="rId198" Type="http://schemas.openxmlformats.org/officeDocument/2006/relationships/hyperlink" Target="https://a0.muscache.com/im/pictures/hosting/Hosting-1583557478272735546/original/857ab12b-d96a-4c1a-9d0f-39f270934e1f.jpeg" TargetMode="External"/><Relationship Id="rId197" Type="http://schemas.openxmlformats.org/officeDocument/2006/relationships/hyperlink" Target="https://www.airbnb.com/rooms/1583557478272735546" TargetMode="External"/><Relationship Id="rId196" Type="http://schemas.openxmlformats.org/officeDocument/2006/relationships/hyperlink" Target="https://a0.muscache.com/im/pictures/9164d2ef-b293-4b11-b426-03f5d25aa343.jpg" TargetMode="External"/><Relationship Id="rId195" Type="http://schemas.openxmlformats.org/officeDocument/2006/relationships/hyperlink" Target="https://www.airbnb.com/rooms/45202374" TargetMode="External"/><Relationship Id="rId199" Type="http://schemas.openxmlformats.org/officeDocument/2006/relationships/hyperlink" Target="https://www.airbnb.com/rooms/44230907" TargetMode="External"/><Relationship Id="rId150" Type="http://schemas.openxmlformats.org/officeDocument/2006/relationships/hyperlink" Target="https://a0.muscache.com/im/pictures/prohost-api/Hosting-1403065572974131515/original/c63d21bb-5386-4702-88f2-0f3078b143e6.jpeg" TargetMode="External"/><Relationship Id="rId271" Type="http://schemas.openxmlformats.org/officeDocument/2006/relationships/hyperlink" Target="https://www.airbnb.com/rooms/1554536505026755516" TargetMode="External"/><Relationship Id="rId392" Type="http://schemas.openxmlformats.org/officeDocument/2006/relationships/hyperlink" Target="https://a0.muscache.com/im/pictures/hosting/Hosting-1366027771208803189/original/56943394-8f42-4e36-b64b-3204b7be0950.jpeg" TargetMode="External"/><Relationship Id="rId270" Type="http://schemas.openxmlformats.org/officeDocument/2006/relationships/hyperlink" Target="https://a0.muscache.com/im/pictures/miso/Hosting-54167037/original/b4f13ae0-a57a-4789-805a-1c2ecdfc10e3.jpeg" TargetMode="External"/><Relationship Id="rId391" Type="http://schemas.openxmlformats.org/officeDocument/2006/relationships/hyperlink" Target="https://www.airbnb.com/rooms/1366027771208803189" TargetMode="External"/><Relationship Id="rId390" Type="http://schemas.openxmlformats.org/officeDocument/2006/relationships/hyperlink" Target="https://a0.muscache.com/im/pictures/miso/Hosting-1347505559084587155/original/97d75922-4344-4e8d-a13c-43372926e734.jpeg" TargetMode="External"/><Relationship Id="rId1" Type="http://schemas.openxmlformats.org/officeDocument/2006/relationships/hyperlink" Target="https://www.airbnb.com/rooms/593697918174860171" TargetMode="External"/><Relationship Id="rId2" Type="http://schemas.openxmlformats.org/officeDocument/2006/relationships/hyperlink" Target="https://a0.muscache.com/im/pictures/hosting/Hosting-U3RheVN1cHBseUxpc3Rpbmc6NTkzNjk3OTE4MTc0ODYwMTcx/original/e0681728-fa04-4971-8705-ad423d268f6d.jpeg" TargetMode="External"/><Relationship Id="rId3" Type="http://schemas.openxmlformats.org/officeDocument/2006/relationships/hyperlink" Target="https://www.airbnb.com/rooms/1081304037616195118" TargetMode="External"/><Relationship Id="rId149" Type="http://schemas.openxmlformats.org/officeDocument/2006/relationships/hyperlink" Target="https://www.airbnb.com/rooms/1403065572974131515" TargetMode="External"/><Relationship Id="rId4" Type="http://schemas.openxmlformats.org/officeDocument/2006/relationships/hyperlink" Target="https://a0.muscache.com/im/pictures/miso/Hosting-1081304037616195118/original/d616cf46-6836-4aa9-b878-5f36522107f2.jpeg" TargetMode="External"/><Relationship Id="rId148" Type="http://schemas.openxmlformats.org/officeDocument/2006/relationships/hyperlink" Target="https://a0.muscache.com/im/pictures/hosting/Hosting-1561718922228264371/original/7cafb499-ffad-4e2a-831e-e02cdeb7c212.jpeg" TargetMode="External"/><Relationship Id="rId269" Type="http://schemas.openxmlformats.org/officeDocument/2006/relationships/hyperlink" Target="https://www.airbnb.com/rooms/54167037" TargetMode="External"/><Relationship Id="rId9" Type="http://schemas.openxmlformats.org/officeDocument/2006/relationships/hyperlink" Target="https://www.airbnb.com/rooms/760932843204621095" TargetMode="External"/><Relationship Id="rId143" Type="http://schemas.openxmlformats.org/officeDocument/2006/relationships/hyperlink" Target="https://www.airbnb.com/rooms/1571985816037509446" TargetMode="External"/><Relationship Id="rId264" Type="http://schemas.openxmlformats.org/officeDocument/2006/relationships/hyperlink" Target="https://a0.muscache.com/im/pictures/hosting/Hosting-U3RheVN1cHBseUxpc3Rpbmc6OTIzMjI0OTQ5NzQ1Mzg2NTE5/original/122c2a2b-4d34-4b83-b47c-28301d331550.jpeg" TargetMode="External"/><Relationship Id="rId385" Type="http://schemas.openxmlformats.org/officeDocument/2006/relationships/hyperlink" Target="https://www.airbnb.com/rooms/1467538560939262260" TargetMode="External"/><Relationship Id="rId142" Type="http://schemas.openxmlformats.org/officeDocument/2006/relationships/hyperlink" Target="https://a0.muscache.com/im/pictures/miso/Hosting-51421086/original/74108d0d-c28a-49c0-9295-f3cc0cd84a4a.jpeg" TargetMode="External"/><Relationship Id="rId263" Type="http://schemas.openxmlformats.org/officeDocument/2006/relationships/hyperlink" Target="https://www.airbnb.com/rooms/923224949745386519" TargetMode="External"/><Relationship Id="rId384" Type="http://schemas.openxmlformats.org/officeDocument/2006/relationships/hyperlink" Target="https://a0.muscache.com/im/pictures/hosting/Hosting-U3RheVN1cHBseUxpc3Rpbmc6MTM2OTY2MTY2MjA2OTAyMTEyMQ==/original/91baf940-fbc5-4d3f-a41b-23d96289df43.jpeg" TargetMode="External"/><Relationship Id="rId141" Type="http://schemas.openxmlformats.org/officeDocument/2006/relationships/hyperlink" Target="https://www.airbnb.com/rooms/52075773" TargetMode="External"/><Relationship Id="rId262" Type="http://schemas.openxmlformats.org/officeDocument/2006/relationships/hyperlink" Target="https://a0.muscache.com/im/pictures/hosting/Hosting-U3RheVN1cHBseUxpc3Rpbmc6MTM0MTQ1NjIzMzc5ODIyNjYxMg%3D%3D/original/d15bd464-6415-4c78-8f55-d7753f6f88a5.jpeg" TargetMode="External"/><Relationship Id="rId383" Type="http://schemas.openxmlformats.org/officeDocument/2006/relationships/hyperlink" Target="https://www.airbnb.com/rooms/1369661662069021121" TargetMode="External"/><Relationship Id="rId140" Type="http://schemas.openxmlformats.org/officeDocument/2006/relationships/hyperlink" Target="https://a0.muscache.com/im/pictures/prohost-api/Hosting-1468357111330270465/original/26b7b75e-ed68-4594-84c7-3cee5d83298d.jpeg" TargetMode="External"/><Relationship Id="rId261" Type="http://schemas.openxmlformats.org/officeDocument/2006/relationships/hyperlink" Target="https://www.airbnb.com/rooms/1341456233798226612" TargetMode="External"/><Relationship Id="rId382" Type="http://schemas.openxmlformats.org/officeDocument/2006/relationships/hyperlink" Target="https://a0.muscache.com/im/pictures/prohost-api/Hosting-1323293445921293324/original/30d1f26c-7b11-424d-ab50-589600c4f3e0.jpeg" TargetMode="External"/><Relationship Id="rId5" Type="http://schemas.openxmlformats.org/officeDocument/2006/relationships/hyperlink" Target="https://www.airbnb.com/rooms/1282771927793801014" TargetMode="External"/><Relationship Id="rId147" Type="http://schemas.openxmlformats.org/officeDocument/2006/relationships/hyperlink" Target="https://www.airbnb.com/rooms/1561718922228264371" TargetMode="External"/><Relationship Id="rId268" Type="http://schemas.openxmlformats.org/officeDocument/2006/relationships/hyperlink" Target="https://a0.muscache.com/im/pictures/100294278/3cd58830_original.jpg" TargetMode="External"/><Relationship Id="rId389" Type="http://schemas.openxmlformats.org/officeDocument/2006/relationships/hyperlink" Target="https://www.airbnb.com/rooms/1347505559084587155" TargetMode="External"/><Relationship Id="rId6" Type="http://schemas.openxmlformats.org/officeDocument/2006/relationships/hyperlink" Target="https://a0.muscache.com/im/pictures/prohost-api/Hosting-1282771927793801014/original/5047cb63-3ba2-4d4f-a5ce-5224d206300d.jpeg" TargetMode="External"/><Relationship Id="rId146" Type="http://schemas.openxmlformats.org/officeDocument/2006/relationships/hyperlink" Target="https://a0.muscache.com/im/pictures/miso/Hosting-40617399/original/7148c5f5-22b4-4b16-8119-93521dac4b47.jpeg" TargetMode="External"/><Relationship Id="rId267" Type="http://schemas.openxmlformats.org/officeDocument/2006/relationships/hyperlink" Target="https://www.airbnb.com/rooms/7873948" TargetMode="External"/><Relationship Id="rId388" Type="http://schemas.openxmlformats.org/officeDocument/2006/relationships/hyperlink" Target="https://a0.muscache.com/im/pictures/prohost-api/Hosting-1586994181759763636/original/a71d306b-eafd-43f2-97c2-44fbd81c85d0.jpeg" TargetMode="External"/><Relationship Id="rId7" Type="http://schemas.openxmlformats.org/officeDocument/2006/relationships/hyperlink" Target="https://www.airbnb.com/rooms/43325852" TargetMode="External"/><Relationship Id="rId145" Type="http://schemas.openxmlformats.org/officeDocument/2006/relationships/hyperlink" Target="https://www.airbnb.com/rooms/40617399" TargetMode="External"/><Relationship Id="rId266" Type="http://schemas.openxmlformats.org/officeDocument/2006/relationships/hyperlink" Target="https://a0.muscache.com/im/pictures/miso/Hosting-763038523833937355/original/6ef20922-09f6-4784-8e1e-88b6b443d6f0.jpeg" TargetMode="External"/><Relationship Id="rId387" Type="http://schemas.openxmlformats.org/officeDocument/2006/relationships/hyperlink" Target="https://www.airbnb.com/rooms/1586994181759763636" TargetMode="External"/><Relationship Id="rId8" Type="http://schemas.openxmlformats.org/officeDocument/2006/relationships/hyperlink" Target="https://a0.muscache.com/im/pictures/1f6fa3d5-6b97-4afe-ba98-d09029a98e56.jpg" TargetMode="External"/><Relationship Id="rId144" Type="http://schemas.openxmlformats.org/officeDocument/2006/relationships/hyperlink" Target="https://a0.muscache.com/im/pictures/hosting/Hosting-1571985816037509446/original/14476dc3-1bbf-42b0-a12e-bc53495bd6b8.jpeg" TargetMode="External"/><Relationship Id="rId265" Type="http://schemas.openxmlformats.org/officeDocument/2006/relationships/hyperlink" Target="https://www.airbnb.com/rooms/763038523833937355" TargetMode="External"/><Relationship Id="rId386" Type="http://schemas.openxmlformats.org/officeDocument/2006/relationships/hyperlink" Target="https://a0.muscache.com/im/pictures/hosting/Hosting-1467538560939262260/original/1b637e24-9a89-460f-8e2d-6d36b1449b03.jpeg" TargetMode="External"/><Relationship Id="rId260" Type="http://schemas.openxmlformats.org/officeDocument/2006/relationships/hyperlink" Target="https://a0.muscache.com/im/pictures/hosting/Hosting-U3RheVN1cHBseUxpc3Rpbmc6NDc5Nzk2NDQ%3D/original/86aa15d7-2731-420d-bc55-9bbb4448b266.jpeg" TargetMode="External"/><Relationship Id="rId381" Type="http://schemas.openxmlformats.org/officeDocument/2006/relationships/hyperlink" Target="https://www.airbnb.com/rooms/1323293445921293324" TargetMode="External"/><Relationship Id="rId380" Type="http://schemas.openxmlformats.org/officeDocument/2006/relationships/hyperlink" Target="https://a0.muscache.com/im/pictures/miso/Hosting-826195059732409974/original/70483942-8e0a-4848-bb01-3a21e15e73cb.jpeg" TargetMode="External"/><Relationship Id="rId139" Type="http://schemas.openxmlformats.org/officeDocument/2006/relationships/hyperlink" Target="https://www.airbnb.com/rooms/1468357111330270465" TargetMode="External"/><Relationship Id="rId138" Type="http://schemas.openxmlformats.org/officeDocument/2006/relationships/hyperlink" Target="https://a0.muscache.com/im/pictures/miso/Hosting-1290160392007737794/original/8cb164f5-2e35-4eaa-98a1-07c6ed14add1.jpeg" TargetMode="External"/><Relationship Id="rId259" Type="http://schemas.openxmlformats.org/officeDocument/2006/relationships/hyperlink" Target="https://www.airbnb.com/rooms/47979644" TargetMode="External"/><Relationship Id="rId137" Type="http://schemas.openxmlformats.org/officeDocument/2006/relationships/hyperlink" Target="https://www.airbnb.com/rooms/1290160392007737794" TargetMode="External"/><Relationship Id="rId258" Type="http://schemas.openxmlformats.org/officeDocument/2006/relationships/hyperlink" Target="https://a0.muscache.com/im/pictures/miso/Hosting-774828146150991363/original/d921d824-2723-4f53-a7f5-a4b808559292.jpeg" TargetMode="External"/><Relationship Id="rId379" Type="http://schemas.openxmlformats.org/officeDocument/2006/relationships/hyperlink" Target="https://www.airbnb.com/rooms/826195059732409974" TargetMode="External"/><Relationship Id="rId132" Type="http://schemas.openxmlformats.org/officeDocument/2006/relationships/hyperlink" Target="https://a0.muscache.com/im/pictures/hosting/Hosting-U3RheVN1cHBseUxpc3Rpbmc6MzA1MDE5NTc=/original/5362e3d7-5ea1-49d1-ae98-5fa61d752109.jpeg" TargetMode="External"/><Relationship Id="rId253" Type="http://schemas.openxmlformats.org/officeDocument/2006/relationships/hyperlink" Target="https://www.airbnb.com/rooms/47133861" TargetMode="External"/><Relationship Id="rId374" Type="http://schemas.openxmlformats.org/officeDocument/2006/relationships/hyperlink" Target="https://a0.muscache.com/im/pictures/e7666d9e-d133-42d5-afbc-320a73dc6499.jpg" TargetMode="External"/><Relationship Id="rId131" Type="http://schemas.openxmlformats.org/officeDocument/2006/relationships/hyperlink" Target="https://www.airbnb.com/rooms/30501957" TargetMode="External"/><Relationship Id="rId252" Type="http://schemas.openxmlformats.org/officeDocument/2006/relationships/hyperlink" Target="https://a0.muscache.com/im/pictures/miso/Hosting-828917536017958391/original/3e4bd473-ccb6-404b-8e4d-54fa79fd5cbb.jpeg" TargetMode="External"/><Relationship Id="rId373" Type="http://schemas.openxmlformats.org/officeDocument/2006/relationships/hyperlink" Target="https://www.airbnb.com/rooms/27549821" TargetMode="External"/><Relationship Id="rId130" Type="http://schemas.openxmlformats.org/officeDocument/2006/relationships/hyperlink" Target="https://a0.muscache.com/im/pictures/hosting/Hosting-1562546177630236463/original/520d2338-74cc-40ec-be42-abf993757fbb.jpeg" TargetMode="External"/><Relationship Id="rId251" Type="http://schemas.openxmlformats.org/officeDocument/2006/relationships/hyperlink" Target="https://www.airbnb.com/rooms/828917536017958391" TargetMode="External"/><Relationship Id="rId372" Type="http://schemas.openxmlformats.org/officeDocument/2006/relationships/hyperlink" Target="https://a0.muscache.com/im/pictures/miso/Hosting-821030758831471759/original/768e81fd-6a0c-46c3-bcb3-51cfdfc55c39.jpeg" TargetMode="External"/><Relationship Id="rId250" Type="http://schemas.openxmlformats.org/officeDocument/2006/relationships/hyperlink" Target="https://a0.muscache.com/im/pictures/prohost-api/Hosting-51341759/original/1a2cfb3e-10f6-483c-a0d8-f2693e1fab56.jpeg" TargetMode="External"/><Relationship Id="rId371" Type="http://schemas.openxmlformats.org/officeDocument/2006/relationships/hyperlink" Target="https://www.airbnb.com/rooms/821030758831471759" TargetMode="External"/><Relationship Id="rId136" Type="http://schemas.openxmlformats.org/officeDocument/2006/relationships/hyperlink" Target="https://a0.muscache.com/im/pictures/miso/Hosting-1330539356172192409/original/e5fa0394-6cd6-4b28-b8a2-003c8a66b144.jpeg" TargetMode="External"/><Relationship Id="rId257" Type="http://schemas.openxmlformats.org/officeDocument/2006/relationships/hyperlink" Target="https://www.airbnb.com/rooms/774828146150991363" TargetMode="External"/><Relationship Id="rId378" Type="http://schemas.openxmlformats.org/officeDocument/2006/relationships/hyperlink" Target="https://media.vrbo.com/lodging/38000000/37900000/37891400/37891352/6f3846c3.jpg?impolicy=resizecrop&amp;rw=1200&amp;ra=fit" TargetMode="External"/><Relationship Id="rId135" Type="http://schemas.openxmlformats.org/officeDocument/2006/relationships/hyperlink" Target="https://www.airbnb.com/rooms/1330539356172192409" TargetMode="External"/><Relationship Id="rId256" Type="http://schemas.openxmlformats.org/officeDocument/2006/relationships/hyperlink" Target="https://a0.muscache.com/im/pictures/hosting/Hosting-1185412033137574849/original/c86990c5-330d-4f72-b7cd-1c9c0b95f82b.jpeg" TargetMode="External"/><Relationship Id="rId377" Type="http://schemas.openxmlformats.org/officeDocument/2006/relationships/hyperlink" Target="https://www.vrbo.com/1649226" TargetMode="External"/><Relationship Id="rId134" Type="http://schemas.openxmlformats.org/officeDocument/2006/relationships/hyperlink" Target="https://a0.muscache.com/im/pictures/miso/Hosting-53200054/original/2dcfc174-6121-403c-8faa-51532ea5b041.jpeg" TargetMode="External"/><Relationship Id="rId255" Type="http://schemas.openxmlformats.org/officeDocument/2006/relationships/hyperlink" Target="https://www.airbnb.com/rooms/1185412033137574849" TargetMode="External"/><Relationship Id="rId376" Type="http://schemas.openxmlformats.org/officeDocument/2006/relationships/hyperlink" Target="https://a0.muscache.com/im/pictures/prohost-api/Hosting-1186655923127869559/original/8dc03bfe-113c-4db7-9370-d9747732d00d.jpeg" TargetMode="External"/><Relationship Id="rId133" Type="http://schemas.openxmlformats.org/officeDocument/2006/relationships/hyperlink" Target="https://www.airbnb.com/rooms/53200054" TargetMode="External"/><Relationship Id="rId254" Type="http://schemas.openxmlformats.org/officeDocument/2006/relationships/hyperlink" Target="https://a0.muscache.com/im/pictures/miso/Hosting-47133861/original/03c5f0d5-ad29-4f7d-ad31-c8e8e11a3edd.jpeg" TargetMode="External"/><Relationship Id="rId375" Type="http://schemas.openxmlformats.org/officeDocument/2006/relationships/hyperlink" Target="https://www.airbnb.com/rooms/1186655923127869559" TargetMode="External"/><Relationship Id="rId172" Type="http://schemas.openxmlformats.org/officeDocument/2006/relationships/hyperlink" Target="https://a0.muscache.com/im/pictures/b68ea866-2cce-4cce-9962-1f6509833099.jpg" TargetMode="External"/><Relationship Id="rId293" Type="http://schemas.openxmlformats.org/officeDocument/2006/relationships/hyperlink" Target="https://www.airbnb.com/rooms/935588588102507179" TargetMode="External"/><Relationship Id="rId171" Type="http://schemas.openxmlformats.org/officeDocument/2006/relationships/hyperlink" Target="https://www.airbnb.com/rooms/43449332" TargetMode="External"/><Relationship Id="rId292" Type="http://schemas.openxmlformats.org/officeDocument/2006/relationships/hyperlink" Target="https://a0.muscache.com/im/pictures/miso/Hosting-777504125335775636/original/f8630834-912e-47ec-8475-b6d1e7c21863.png" TargetMode="External"/><Relationship Id="rId170" Type="http://schemas.openxmlformats.org/officeDocument/2006/relationships/hyperlink" Target="https://a0.muscache.com/im/pictures/fef6d59f-8094-4e40-b144-bfc96f0c3b2f.jpg" TargetMode="External"/><Relationship Id="rId291" Type="http://schemas.openxmlformats.org/officeDocument/2006/relationships/hyperlink" Target="https://www.airbnb.com/rooms/777504125335775636" TargetMode="External"/><Relationship Id="rId290" Type="http://schemas.openxmlformats.org/officeDocument/2006/relationships/hyperlink" Target="https://a0.muscache.com/im/pictures/hosting/Hosting-U3RheVN1cHBseUxpc3Rpbmc6MTM2ODk5ODE0MTc0MTA5NjM1Mg==/original/937f9aac-ef2c-4414-992c-1a147918e0fd.jpeg" TargetMode="External"/><Relationship Id="rId165" Type="http://schemas.openxmlformats.org/officeDocument/2006/relationships/hyperlink" Target="https://www.airbnb.com/rooms/1488610314076557682" TargetMode="External"/><Relationship Id="rId286" Type="http://schemas.openxmlformats.org/officeDocument/2006/relationships/hyperlink" Target="https://a0.muscache.com/im/pictures/prohost-api/Hosting-660170366711320057/original/e4a94e5b-e9a1-4bc4-961f-63ba17644d27.jpeg" TargetMode="External"/><Relationship Id="rId164" Type="http://schemas.openxmlformats.org/officeDocument/2006/relationships/hyperlink" Target="https://a0.muscache.com/im/pictures/f3a5e0f7-19fb-40a9-8171-87011138e20a.jpg" TargetMode="External"/><Relationship Id="rId285" Type="http://schemas.openxmlformats.org/officeDocument/2006/relationships/hyperlink" Target="https://www.airbnb.com/rooms/660170366711320057" TargetMode="External"/><Relationship Id="rId163" Type="http://schemas.openxmlformats.org/officeDocument/2006/relationships/hyperlink" Target="https://www.airbnb.com/rooms/18584645" TargetMode="External"/><Relationship Id="rId284" Type="http://schemas.openxmlformats.org/officeDocument/2006/relationships/hyperlink" Target="https://a0.muscache.com/im/pictures/miso/Hosting-898690866389316347/original/f114238a-4bc5-4f32-8408-d615b89d268c.png" TargetMode="External"/><Relationship Id="rId162" Type="http://schemas.openxmlformats.org/officeDocument/2006/relationships/hyperlink" Target="https://a0.muscache.com/im/pictures/hosting/Hosting-1539878888684132336/original/eec5d5f3-f2f1-4174-be65-f99f5dd09240.png" TargetMode="External"/><Relationship Id="rId283" Type="http://schemas.openxmlformats.org/officeDocument/2006/relationships/hyperlink" Target="https://www.airbnb.com/rooms/898690866389316347" TargetMode="External"/><Relationship Id="rId169" Type="http://schemas.openxmlformats.org/officeDocument/2006/relationships/hyperlink" Target="https://www.airbnb.com/rooms/13376549" TargetMode="External"/><Relationship Id="rId168" Type="http://schemas.openxmlformats.org/officeDocument/2006/relationships/hyperlink" Target="https://a0.muscache.com/im/pictures/miso/Hosting-757315754797585305/original/30e414a2-d032-4fcf-bf06-98c7a79e2630.jpeg" TargetMode="External"/><Relationship Id="rId289" Type="http://schemas.openxmlformats.org/officeDocument/2006/relationships/hyperlink" Target="https://www.airbnb.com/rooms/1368998141741096352" TargetMode="External"/><Relationship Id="rId167" Type="http://schemas.openxmlformats.org/officeDocument/2006/relationships/hyperlink" Target="https://www.airbnb.com/rooms/757315754797585305" TargetMode="External"/><Relationship Id="rId288" Type="http://schemas.openxmlformats.org/officeDocument/2006/relationships/hyperlink" Target="https://a0.muscache.com/im/pictures/miso/Hosting-1160968888286689135/original/e1347488-9fb4-4b59-bc91-61e4a303fcb3.jpeg" TargetMode="External"/><Relationship Id="rId166" Type="http://schemas.openxmlformats.org/officeDocument/2006/relationships/hyperlink" Target="https://a0.muscache.com/im/pictures/13d07ebb-b71a-472f-87af-8b53432c5110.jpg" TargetMode="External"/><Relationship Id="rId287" Type="http://schemas.openxmlformats.org/officeDocument/2006/relationships/hyperlink" Target="https://www.airbnb.com/rooms/1160968888286689135" TargetMode="External"/><Relationship Id="rId161" Type="http://schemas.openxmlformats.org/officeDocument/2006/relationships/hyperlink" Target="https://www.airbnb.com/rooms/1539878888684132336" TargetMode="External"/><Relationship Id="rId282" Type="http://schemas.openxmlformats.org/officeDocument/2006/relationships/hyperlink" Target="https://a0.muscache.com/im/pictures/miso/Hosting-25780785/original/c5497604-a3ac-4bf1-a6fd-b504dff90f77.jpeg" TargetMode="External"/><Relationship Id="rId160" Type="http://schemas.openxmlformats.org/officeDocument/2006/relationships/hyperlink" Target="https://a0.muscache.com/im/pictures/cac7884c-3ae8-45eb-9320-e7fd6fe05e76.jpg" TargetMode="External"/><Relationship Id="rId281" Type="http://schemas.openxmlformats.org/officeDocument/2006/relationships/hyperlink" Target="https://www.airbnb.com/rooms/25780785" TargetMode="External"/><Relationship Id="rId280" Type="http://schemas.openxmlformats.org/officeDocument/2006/relationships/hyperlink" Target="https://a0.muscache.com/im/pictures/miso/Hosting-31619967/original/287ee1b9-b49c-4365-b8ee-a53d917c7c8d.jpeg" TargetMode="External"/><Relationship Id="rId159" Type="http://schemas.openxmlformats.org/officeDocument/2006/relationships/hyperlink" Target="https://www.airbnb.com/rooms/25741218" TargetMode="External"/><Relationship Id="rId154" Type="http://schemas.openxmlformats.org/officeDocument/2006/relationships/hyperlink" Target="https://a0.muscache.com/im/pictures/miso/Hosting-20147683/original/35a497d4-d2a2-4527-a30d-0fc4911795d0.jpeg" TargetMode="External"/><Relationship Id="rId275" Type="http://schemas.openxmlformats.org/officeDocument/2006/relationships/hyperlink" Target="https://www.airbnb.com/rooms/39444731" TargetMode="External"/><Relationship Id="rId396" Type="http://schemas.openxmlformats.org/officeDocument/2006/relationships/hyperlink" Target="https://a0.muscache.com/im/pictures/hosting/Hosting-U3RheVN1cHBseUxpc3Rpbmc6MTMxMzI3NDg1NTA4MjUzOTc2Mg%3D%3D/original/2ecc3353-2aff-4ca6-afd9-7287b8c69340.jpeg" TargetMode="External"/><Relationship Id="rId153" Type="http://schemas.openxmlformats.org/officeDocument/2006/relationships/hyperlink" Target="https://www.airbnb.com/rooms/20147683" TargetMode="External"/><Relationship Id="rId274" Type="http://schemas.openxmlformats.org/officeDocument/2006/relationships/hyperlink" Target="https://a0.muscache.com/im/pictures/miso/Hosting-46217145/original/04cd05d4-1678-40e1-9c10-0eb89e4c7242.jpeg" TargetMode="External"/><Relationship Id="rId395" Type="http://schemas.openxmlformats.org/officeDocument/2006/relationships/hyperlink" Target="https://www.airbnb.com/rooms/1313278911919678743" TargetMode="External"/><Relationship Id="rId152" Type="http://schemas.openxmlformats.org/officeDocument/2006/relationships/hyperlink" Target="https://a0.muscache.com/im/pictures/hosting/Hosting-1128883833989369624/original/7f25d350-c2cd-48f1-8711-e87ef3b31c73.jpeg" TargetMode="External"/><Relationship Id="rId273" Type="http://schemas.openxmlformats.org/officeDocument/2006/relationships/hyperlink" Target="https://www.airbnb.com/rooms/46217145" TargetMode="External"/><Relationship Id="rId394" Type="http://schemas.openxmlformats.org/officeDocument/2006/relationships/hyperlink" Target="https://a0.muscache.com/im/pictures/miso/Hosting-797840325726271990/original/0b1e60da-ee1a-428f-8aa6-03c27fd221ff.png?ml=true" TargetMode="External"/><Relationship Id="rId151" Type="http://schemas.openxmlformats.org/officeDocument/2006/relationships/hyperlink" Target="https://www.airbnb.com/rooms/1128883833989369624" TargetMode="External"/><Relationship Id="rId272" Type="http://schemas.openxmlformats.org/officeDocument/2006/relationships/hyperlink" Target="https://a0.muscache.com/im/pictures/prohost-api/Hosting-1554536505026755516/original/35643e32-f1e1-4da1-9a68-24cbc241ff0e.jpeg" TargetMode="External"/><Relationship Id="rId393" Type="http://schemas.openxmlformats.org/officeDocument/2006/relationships/hyperlink" Target="https://www.airbnb.com/rooms/797840325726271990" TargetMode="External"/><Relationship Id="rId158" Type="http://schemas.openxmlformats.org/officeDocument/2006/relationships/hyperlink" Target="https://a0.muscache.com/im/pictures/prohost-api/Hosting-1127636591749580044/original/d6ac6d4f-6bb1-4cc3-9936-64ea12ae36c8.jpeg" TargetMode="External"/><Relationship Id="rId279" Type="http://schemas.openxmlformats.org/officeDocument/2006/relationships/hyperlink" Target="https://www.airbnb.com/rooms/31619967" TargetMode="External"/><Relationship Id="rId157" Type="http://schemas.openxmlformats.org/officeDocument/2006/relationships/hyperlink" Target="https://www.airbnb.com/rooms/1127636591749580044" TargetMode="External"/><Relationship Id="rId278" Type="http://schemas.openxmlformats.org/officeDocument/2006/relationships/hyperlink" Target="https://a0.muscache.com/im/pictures/miso/Hosting-42758767/original/0936e250-0db1-4ccc-8c9d-4dce74e7b768.jpeg" TargetMode="External"/><Relationship Id="rId399" Type="http://schemas.openxmlformats.org/officeDocument/2006/relationships/hyperlink" Target="https://www.airbnb.com/rooms/1471147514652552056" TargetMode="External"/><Relationship Id="rId156" Type="http://schemas.openxmlformats.org/officeDocument/2006/relationships/hyperlink" Target="https://a0.muscache.com/im/pictures/3beba538-8534-44bb-b059-0975a6f65303.jpg" TargetMode="External"/><Relationship Id="rId277" Type="http://schemas.openxmlformats.org/officeDocument/2006/relationships/hyperlink" Target="https://www.airbnb.com/rooms/42758767" TargetMode="External"/><Relationship Id="rId398" Type="http://schemas.openxmlformats.org/officeDocument/2006/relationships/hyperlink" Target="https://a0.muscache.com/im/pictures/hosting/Hosting-22567476/original/26e9f3f2-20f3-4c2b-9567-db086e1133b6.jpeg" TargetMode="External"/><Relationship Id="rId155" Type="http://schemas.openxmlformats.org/officeDocument/2006/relationships/hyperlink" Target="https://www.airbnb.com/rooms/13433864" TargetMode="External"/><Relationship Id="rId276" Type="http://schemas.openxmlformats.org/officeDocument/2006/relationships/hyperlink" Target="https://a0.muscache.com/im/pictures/47ebfabd-9f4a-4c63-b22d-73677e083a49.jpg" TargetMode="External"/><Relationship Id="rId397" Type="http://schemas.openxmlformats.org/officeDocument/2006/relationships/hyperlink" Target="https://www.airbnb.com/rooms/22567476" TargetMode="External"/><Relationship Id="rId40" Type="http://schemas.openxmlformats.org/officeDocument/2006/relationships/hyperlink" Target="https://a0.muscache.com/im/pictures/prohost-api/Hosting-1355302642512674925/original/87769948-09ce-4ebb-81f1-42fdf30a1f4f.jpeg" TargetMode="External"/><Relationship Id="rId42" Type="http://schemas.openxmlformats.org/officeDocument/2006/relationships/hyperlink" Target="https://a0.muscache.com/im/pictures/hosting/Hosting-1443128070291704860/original/7f646507-ff0e-46e1-8a45-71ce58494c5b.jpeg" TargetMode="External"/><Relationship Id="rId41" Type="http://schemas.openxmlformats.org/officeDocument/2006/relationships/hyperlink" Target="https://www.airbnb.com/rooms/1443128070291704860" TargetMode="External"/><Relationship Id="rId44" Type="http://schemas.openxmlformats.org/officeDocument/2006/relationships/hyperlink" Target="https://a0.muscache.com/im/pictures/806c7f1a-ba07-4c15-a528-ec1b6ac38170.jpg" TargetMode="External"/><Relationship Id="rId43" Type="http://schemas.openxmlformats.org/officeDocument/2006/relationships/hyperlink" Target="https://www.airbnb.com/rooms/36757348" TargetMode="External"/><Relationship Id="rId46" Type="http://schemas.openxmlformats.org/officeDocument/2006/relationships/hyperlink" Target="https://a0.muscache.com/im/pictures/prohost-api/Hosting-53959021/original/885ad70f-8a63-401e-9368-871b0dfecb32.jpeg" TargetMode="External"/><Relationship Id="rId45" Type="http://schemas.openxmlformats.org/officeDocument/2006/relationships/hyperlink" Target="https://www.airbnb.com/rooms/53959021" TargetMode="External"/><Relationship Id="rId48" Type="http://schemas.openxmlformats.org/officeDocument/2006/relationships/hyperlink" Target="https://a0.muscache.com/im/pictures/hosting/Hosting-1218764280123048800/original/476c6844-9904-45c7-96a1-a8af4b5993e6.jpeg" TargetMode="External"/><Relationship Id="rId47" Type="http://schemas.openxmlformats.org/officeDocument/2006/relationships/hyperlink" Target="https://www.airbnb.com/rooms/1218764280123048800" TargetMode="External"/><Relationship Id="rId49" Type="http://schemas.openxmlformats.org/officeDocument/2006/relationships/hyperlink" Target="https://www.airbnb.com/rooms/1402469687001105592" TargetMode="External"/><Relationship Id="rId31" Type="http://schemas.openxmlformats.org/officeDocument/2006/relationships/hyperlink" Target="https://www.airbnb.com/rooms/720207035464369202" TargetMode="External"/><Relationship Id="rId30" Type="http://schemas.openxmlformats.org/officeDocument/2006/relationships/hyperlink" Target="https://a0.muscache.com/im/pictures/miso/Hosting-29412594/original/16738b4b-3941-433b-b890-8dc686a4c58f.jpeg" TargetMode="External"/><Relationship Id="rId33" Type="http://schemas.openxmlformats.org/officeDocument/2006/relationships/hyperlink" Target="https://www.airbnb.com/rooms/1183975964789723020" TargetMode="External"/><Relationship Id="rId32" Type="http://schemas.openxmlformats.org/officeDocument/2006/relationships/hyperlink" Target="https://a0.muscache.com/im/pictures/miso/Hosting-720207035464369202/original/35082405-4a9b-49ee-94bc-1c1fee66edc6.jpeg" TargetMode="External"/><Relationship Id="rId35" Type="http://schemas.openxmlformats.org/officeDocument/2006/relationships/hyperlink" Target="https://www.airbnb.com/rooms/18446757" TargetMode="External"/><Relationship Id="rId34" Type="http://schemas.openxmlformats.org/officeDocument/2006/relationships/hyperlink" Target="https://a0.muscache.com/im/pictures/miso/Hosting-1183975964789723020/original/0711ce31-0c51-4220-8696-dcaa14bc623c.jpeg" TargetMode="External"/><Relationship Id="rId37" Type="http://schemas.openxmlformats.org/officeDocument/2006/relationships/hyperlink" Target="https://www.vrbo.com/3058982" TargetMode="External"/><Relationship Id="rId36" Type="http://schemas.openxmlformats.org/officeDocument/2006/relationships/hyperlink" Target="https://a0.muscache.com/im/pictures/prohost-api/Hosting-18446757/original/588b2246-edde-467a-bdf5-234bcc5d3481.jpeg" TargetMode="External"/><Relationship Id="rId39" Type="http://schemas.openxmlformats.org/officeDocument/2006/relationships/hyperlink" Target="https://www.airbnb.com/rooms/1355302642512674925" TargetMode="External"/><Relationship Id="rId38" Type="http://schemas.openxmlformats.org/officeDocument/2006/relationships/hyperlink" Target="https://media.vrbo.com/lodging/89000000/88210000/88204500/88204454/8dc811c2.jpg?impolicy=resizecrop&amp;rw=1200&amp;ra=fit" TargetMode="External"/><Relationship Id="rId20" Type="http://schemas.openxmlformats.org/officeDocument/2006/relationships/hyperlink" Target="https://a0.muscache.com/im/pictures/prohost-api/Hosting-45453217/original/43de7878-6946-40a8-b667-4dac11688014.jpeg" TargetMode="External"/><Relationship Id="rId22" Type="http://schemas.openxmlformats.org/officeDocument/2006/relationships/hyperlink" Target="https://media.vrbo.com/lodging/34000000/33500000/33494400/33494370/1e1860d8.jpg?impolicy=resizecrop&amp;rw=1200&amp;ra=fit" TargetMode="External"/><Relationship Id="rId21" Type="http://schemas.openxmlformats.org/officeDocument/2006/relationships/hyperlink" Target="https://www.vrbo.com/688864" TargetMode="External"/><Relationship Id="rId24" Type="http://schemas.openxmlformats.org/officeDocument/2006/relationships/hyperlink" Target="https://a0.muscache.com/im/pictures/miso/Hosting-711683455966080425/original/ce77cffb-852b-47d4-9974-fbac050250fa.jpeg" TargetMode="External"/><Relationship Id="rId23" Type="http://schemas.openxmlformats.org/officeDocument/2006/relationships/hyperlink" Target="https://www.airbnb.com/rooms/711683455966080425" TargetMode="External"/><Relationship Id="rId409" Type="http://schemas.openxmlformats.org/officeDocument/2006/relationships/hyperlink" Target="https://www.vrbo.com/2696923" TargetMode="External"/><Relationship Id="rId404" Type="http://schemas.openxmlformats.org/officeDocument/2006/relationships/hyperlink" Target="https://a0.muscache.com/im/pictures/3d7f058f-b42e-4e13-af43-404863b9ca91.jpg" TargetMode="External"/><Relationship Id="rId403" Type="http://schemas.openxmlformats.org/officeDocument/2006/relationships/hyperlink" Target="https://www.airbnb.com/rooms/24264947" TargetMode="External"/><Relationship Id="rId402" Type="http://schemas.openxmlformats.org/officeDocument/2006/relationships/hyperlink" Target="https://media.vrbo.com/lodging/123000000/122860000/122858300/122858214/w1200h1279x0y0-12b7e322.jpg?impolicy=resizecrop&amp;rw=1200&amp;ra=fit" TargetMode="External"/><Relationship Id="rId401" Type="http://schemas.openxmlformats.org/officeDocument/2006/relationships/hyperlink" Target="https://www.vrbo.com/4948473" TargetMode="External"/><Relationship Id="rId408" Type="http://schemas.openxmlformats.org/officeDocument/2006/relationships/hyperlink" Target="https://a0.muscache.com/im/pictures/miso/Hosting-1439476297918948493/original/e1891bbf-1fcd-417f-84b0-db9c08b8db5a.jpeg" TargetMode="External"/><Relationship Id="rId407" Type="http://schemas.openxmlformats.org/officeDocument/2006/relationships/hyperlink" Target="https://www.airbnb.com/rooms/1439476297918948493" TargetMode="External"/><Relationship Id="rId406" Type="http://schemas.openxmlformats.org/officeDocument/2006/relationships/hyperlink" Target="https://media.vrbo.com/lodging/62000000/61620000/61614400/61614333/78fb8d2e.jpg?impolicy=resizecrop&amp;rw=1200&amp;ra=fit" TargetMode="External"/><Relationship Id="rId405" Type="http://schemas.openxmlformats.org/officeDocument/2006/relationships/hyperlink" Target="https://www.vrbo.com/2151975" TargetMode="External"/><Relationship Id="rId26" Type="http://schemas.openxmlformats.org/officeDocument/2006/relationships/hyperlink" Target="https://a0.muscache.com/im/pictures/miso/Hosting-48025432/original/3ce3406a-103c-4afa-a63b-d7b5ac589d80.jpeg" TargetMode="External"/><Relationship Id="rId25" Type="http://schemas.openxmlformats.org/officeDocument/2006/relationships/hyperlink" Target="https://www.airbnb.com/rooms/48025432" TargetMode="External"/><Relationship Id="rId28" Type="http://schemas.openxmlformats.org/officeDocument/2006/relationships/hyperlink" Target="https://a0.muscache.com/im/pictures/prohost-api/Hosting-1446785909520866063/original/aeae7f5c-6300-4269-a81e-5b1b0adb9239.jpeg" TargetMode="External"/><Relationship Id="rId27" Type="http://schemas.openxmlformats.org/officeDocument/2006/relationships/hyperlink" Target="https://www.airbnb.com/rooms/1446785909520866063" TargetMode="External"/><Relationship Id="rId400" Type="http://schemas.openxmlformats.org/officeDocument/2006/relationships/hyperlink" Target="https://a0.muscache.com/im/pictures/hosting/Hosting-1471147514652552056/original/ac498457-6df4-4f45-9eae-facd1a00fe5f.jpeg" TargetMode="External"/><Relationship Id="rId29" Type="http://schemas.openxmlformats.org/officeDocument/2006/relationships/hyperlink" Target="https://www.airbnb.com/rooms/29412594" TargetMode="External"/><Relationship Id="rId11" Type="http://schemas.openxmlformats.org/officeDocument/2006/relationships/hyperlink" Target="https://www.airbnb.com/rooms/846300604765747633" TargetMode="External"/><Relationship Id="rId10" Type="http://schemas.openxmlformats.org/officeDocument/2006/relationships/hyperlink" Target="https://a0.muscache.com/im/pictures/miso/Hosting-760932843204621095/original/fa497181-2040-476f-9e0b-35b598273c33.jpeg" TargetMode="External"/><Relationship Id="rId13" Type="http://schemas.openxmlformats.org/officeDocument/2006/relationships/hyperlink" Target="https://www.airbnb.com/rooms/40309364" TargetMode="External"/><Relationship Id="rId12" Type="http://schemas.openxmlformats.org/officeDocument/2006/relationships/hyperlink" Target="https://a0.muscache.com/im/pictures/prohost-api/Hosting-846300604765747633/original/caff08d5-5411-4a9e-9333-3870812bbb4d.jpeg" TargetMode="External"/><Relationship Id="rId15" Type="http://schemas.openxmlformats.org/officeDocument/2006/relationships/hyperlink" Target="https://www.vrbo.com/3693292" TargetMode="External"/><Relationship Id="rId14" Type="http://schemas.openxmlformats.org/officeDocument/2006/relationships/hyperlink" Target="https://a0.muscache.com/im/pictures/01f23406-726c-4c2f-8556-d1f45546c5a4.jpg" TargetMode="External"/><Relationship Id="rId17" Type="http://schemas.openxmlformats.org/officeDocument/2006/relationships/hyperlink" Target="https://www.airbnb.com/rooms/50070903" TargetMode="External"/><Relationship Id="rId16" Type="http://schemas.openxmlformats.org/officeDocument/2006/relationships/hyperlink" Target="https://media.vrbo.com/lodging/101000000/100160000/100156100/100156052/ff769346.jpg?impolicy=resizecrop&amp;rw=1200&amp;ra=fit" TargetMode="External"/><Relationship Id="rId19" Type="http://schemas.openxmlformats.org/officeDocument/2006/relationships/hyperlink" Target="https://www.airbnb.com/rooms/45453217" TargetMode="External"/><Relationship Id="rId18" Type="http://schemas.openxmlformats.org/officeDocument/2006/relationships/hyperlink" Target="https://a0.muscache.com/im/pictures/prohost-api/Hosting-50070903/original/39b2b8e9-56e9-42ca-98ae-e3ed15c0d480.jpeg" TargetMode="External"/><Relationship Id="rId84" Type="http://schemas.openxmlformats.org/officeDocument/2006/relationships/hyperlink" Target="https://a0.muscache.com/im/pictures/miso/Hosting-15480520/original/515de377-5a2e-4b91-97ef-be80e2aaa82c.jpeg" TargetMode="External"/><Relationship Id="rId83" Type="http://schemas.openxmlformats.org/officeDocument/2006/relationships/hyperlink" Target="https://www.airbnb.com/rooms/15480520" TargetMode="External"/><Relationship Id="rId86" Type="http://schemas.openxmlformats.org/officeDocument/2006/relationships/hyperlink" Target="https://a0.muscache.com/im/pictures/prohost-api/Hosting-22576471/original/0801bd1e-ddb0-413f-aece-91e70eaf0c5b.jpeg" TargetMode="External"/><Relationship Id="rId85" Type="http://schemas.openxmlformats.org/officeDocument/2006/relationships/hyperlink" Target="https://www.airbnb.com/rooms/22576471" TargetMode="External"/><Relationship Id="rId88" Type="http://schemas.openxmlformats.org/officeDocument/2006/relationships/hyperlink" Target="https://a0.muscache.com/im/pictures/prohost-api/Hosting-16887690/original/f879347e-9593-43ab-a1e2-9fa217456bbe.jpeg" TargetMode="External"/><Relationship Id="rId87" Type="http://schemas.openxmlformats.org/officeDocument/2006/relationships/hyperlink" Target="https://www.airbnb.com/rooms/16887690" TargetMode="External"/><Relationship Id="rId89" Type="http://schemas.openxmlformats.org/officeDocument/2006/relationships/hyperlink" Target="https://www.airbnb.com/rooms/17171302" TargetMode="External"/><Relationship Id="rId80" Type="http://schemas.openxmlformats.org/officeDocument/2006/relationships/hyperlink" Target="https://a0.muscache.com/im/pictures/miso/Hosting-770335047413300287/original/1bd0e028-10a2-4d8a-9d83-ab0952d70255.jpeg" TargetMode="External"/><Relationship Id="rId82" Type="http://schemas.openxmlformats.org/officeDocument/2006/relationships/hyperlink" Target="https://a0.muscache.com/im/pictures/miso/Hosting-887163938808160705/original/c085890f-3aeb-4ceb-999b-908359e719ee.jpeg" TargetMode="External"/><Relationship Id="rId81" Type="http://schemas.openxmlformats.org/officeDocument/2006/relationships/hyperlink" Target="https://www.airbnb.com/rooms/887163938808160705" TargetMode="External"/><Relationship Id="rId73" Type="http://schemas.openxmlformats.org/officeDocument/2006/relationships/hyperlink" Target="https://www.vrbo.com/952599" TargetMode="External"/><Relationship Id="rId72" Type="http://schemas.openxmlformats.org/officeDocument/2006/relationships/hyperlink" Target="https://a0.muscache.com/im/pictures/miso/Hosting-53940244/original/d72b18e6-5ca2-4840-9f06-e335cf8f2a39.png" TargetMode="External"/><Relationship Id="rId75" Type="http://schemas.openxmlformats.org/officeDocument/2006/relationships/hyperlink" Target="https://www.airbnb.com/rooms/701363545909266990" TargetMode="External"/><Relationship Id="rId74" Type="http://schemas.openxmlformats.org/officeDocument/2006/relationships/hyperlink" Target="https://media.vrbo.com/lodging/34000000/33510000/33508200/33508114/w2700h1799x0y1-2ab93d11.jpg?impolicy=resizecrop&amp;rw=1200&amp;ra=fit" TargetMode="External"/><Relationship Id="rId77" Type="http://schemas.openxmlformats.org/officeDocument/2006/relationships/hyperlink" Target="https://www.airbnb.com/rooms/33907972" TargetMode="External"/><Relationship Id="rId76" Type="http://schemas.openxmlformats.org/officeDocument/2006/relationships/hyperlink" Target="https://a0.muscache.com/im/pictures/prohost-api/Hosting-701363545909266990/original/42ae8a65-fa8f-44b6-aa98-e16bc7679851.jpeg" TargetMode="External"/><Relationship Id="rId79" Type="http://schemas.openxmlformats.org/officeDocument/2006/relationships/hyperlink" Target="https://www.airbnb.com/rooms/770335047413300287" TargetMode="External"/><Relationship Id="rId78" Type="http://schemas.openxmlformats.org/officeDocument/2006/relationships/hyperlink" Target="https://a0.muscache.com/im/pictures/prohost-api/Hosting-33907972/original/81fefbd1-3961-4288-b204-717d51c98eee.jpeg" TargetMode="External"/><Relationship Id="rId71" Type="http://schemas.openxmlformats.org/officeDocument/2006/relationships/hyperlink" Target="https://www.airbnb.com/rooms/53940244" TargetMode="External"/><Relationship Id="rId70" Type="http://schemas.openxmlformats.org/officeDocument/2006/relationships/hyperlink" Target="https://a0.muscache.com/im/pictures/miso/Hosting-800810613021989778/original/e2eb015f-9399-4600-8453-553eeed03b08.jpeg" TargetMode="External"/><Relationship Id="rId62" Type="http://schemas.openxmlformats.org/officeDocument/2006/relationships/hyperlink" Target="https://a0.muscache.com/im/pictures/b0ee717a-ccca-44ab-aac6-39891626433e.jpg" TargetMode="External"/><Relationship Id="rId61" Type="http://schemas.openxmlformats.org/officeDocument/2006/relationships/hyperlink" Target="https://www.airbnb.com/rooms/20177266" TargetMode="External"/><Relationship Id="rId64" Type="http://schemas.openxmlformats.org/officeDocument/2006/relationships/hyperlink" Target="https://a0.muscache.com/im/pictures/miso/Hosting-1152434246736444773/original/1f7eba97-bdaf-41e4-b4df-68849bb8d066.jpeg" TargetMode="External"/><Relationship Id="rId63" Type="http://schemas.openxmlformats.org/officeDocument/2006/relationships/hyperlink" Target="https://www.airbnb.com/rooms/1152434246736444773" TargetMode="External"/><Relationship Id="rId66" Type="http://schemas.openxmlformats.org/officeDocument/2006/relationships/hyperlink" Target="https://a0.muscache.com/im/pictures/58385add-7686-4963-ac8e-b096b0e2f6b0.jpg" TargetMode="External"/><Relationship Id="rId65" Type="http://schemas.openxmlformats.org/officeDocument/2006/relationships/hyperlink" Target="https://www.airbnb.com/rooms/53771631" TargetMode="External"/><Relationship Id="rId68" Type="http://schemas.openxmlformats.org/officeDocument/2006/relationships/hyperlink" Target="https://a0.muscache.com/im/pictures/prohost-api/Hosting-53958463/original/f16f575b-cb45-4315-a7d5-e569463fbcd4.jpeg" TargetMode="External"/><Relationship Id="rId67" Type="http://schemas.openxmlformats.org/officeDocument/2006/relationships/hyperlink" Target="https://www.airbnb.com/rooms/53958463" TargetMode="External"/><Relationship Id="rId60" Type="http://schemas.openxmlformats.org/officeDocument/2006/relationships/hyperlink" Target="https://a0.muscache.com/im/pictures/miso/Hosting-1110256712662062360/original/069679ac-826b-4724-b3e3-94fe499b3ac9.jpeg" TargetMode="External"/><Relationship Id="rId69" Type="http://schemas.openxmlformats.org/officeDocument/2006/relationships/hyperlink" Target="https://www.airbnb.com/rooms/800810613021989778" TargetMode="External"/><Relationship Id="rId51" Type="http://schemas.openxmlformats.org/officeDocument/2006/relationships/hyperlink" Target="https://www.airbnb.com/rooms/33021464" TargetMode="External"/><Relationship Id="rId50" Type="http://schemas.openxmlformats.org/officeDocument/2006/relationships/hyperlink" Target="https://a0.muscache.com/im/pictures/miso/Hosting-1402469687001105592/original/647a5894-f9a6-46a2-97c8-9b99a23ebbe8.jpeg" TargetMode="External"/><Relationship Id="rId53" Type="http://schemas.openxmlformats.org/officeDocument/2006/relationships/hyperlink" Target="https://www.airbnb.com/rooms/1265328133112354478" TargetMode="External"/><Relationship Id="rId52" Type="http://schemas.openxmlformats.org/officeDocument/2006/relationships/hyperlink" Target="https://a0.muscache.com/im/pictures/3a18b9e3-f998-4fc9-b94c-ecee3e0f6669.jpg" TargetMode="External"/><Relationship Id="rId55" Type="http://schemas.openxmlformats.org/officeDocument/2006/relationships/hyperlink" Target="https://www.airbnb.com/rooms/1369806560553392199" TargetMode="External"/><Relationship Id="rId54" Type="http://schemas.openxmlformats.org/officeDocument/2006/relationships/hyperlink" Target="https://a0.muscache.com/im/pictures/prohost-api/Hosting-1265328133112354478/original/ffa0c466-807a-432e-aa86-83cd2e641d07.jpeg" TargetMode="External"/><Relationship Id="rId57" Type="http://schemas.openxmlformats.org/officeDocument/2006/relationships/hyperlink" Target="https://www.airbnb.com/rooms/643520971518953625" TargetMode="External"/><Relationship Id="rId56" Type="http://schemas.openxmlformats.org/officeDocument/2006/relationships/hyperlink" Target="https://a0.muscache.com/im/pictures/prohost-api/Hosting-1369806560553392199/original/9ee8498b-44d7-4a86-a438-47f20de783f1.jpeg" TargetMode="External"/><Relationship Id="rId59" Type="http://schemas.openxmlformats.org/officeDocument/2006/relationships/hyperlink" Target="https://www.airbnb.com/rooms/1110256712662062360" TargetMode="External"/><Relationship Id="rId58" Type="http://schemas.openxmlformats.org/officeDocument/2006/relationships/hyperlink" Target="https://a0.muscache.com/im/pictures/miso/Hosting-643520971518953625/original/da8b9c30-7316-4092-a143-05118b96feef.jpeg" TargetMode="External"/><Relationship Id="rId107" Type="http://schemas.openxmlformats.org/officeDocument/2006/relationships/hyperlink" Target="https://www.airbnb.com/rooms/889122155201012767" TargetMode="External"/><Relationship Id="rId228" Type="http://schemas.openxmlformats.org/officeDocument/2006/relationships/hyperlink" Target="https://a0.muscache.com/im/pictures/miso/Hosting-47257319/original/8903062f-1355-4180-b545-f3f4ad1cc2bb.jpeg" TargetMode="External"/><Relationship Id="rId349" Type="http://schemas.openxmlformats.org/officeDocument/2006/relationships/hyperlink" Target="https://www.airbnb.com/rooms/1329089761898009974" TargetMode="External"/><Relationship Id="rId106" Type="http://schemas.openxmlformats.org/officeDocument/2006/relationships/hyperlink" Target="https://a0.muscache.com/im/pictures/hosting/Hosting-1536337940528020795/original/07d763e9-4e85-4a83-98fc-585b47242270.jpeg" TargetMode="External"/><Relationship Id="rId227" Type="http://schemas.openxmlformats.org/officeDocument/2006/relationships/hyperlink" Target="https://www.airbnb.com/rooms/47257319" TargetMode="External"/><Relationship Id="rId348" Type="http://schemas.openxmlformats.org/officeDocument/2006/relationships/hyperlink" Target="https://a0.muscache.com/im/pictures/hosting/Hosting-U3RheVN1cHBseUxpc3Rpbmc6OTEzMjExMDU4MzQ4NjE0MzMx/original/b0c73e79-9569-4db4-bd9d-9127afaec1ca.jpeg" TargetMode="External"/><Relationship Id="rId469" Type="http://schemas.openxmlformats.org/officeDocument/2006/relationships/hyperlink" Target="https://media.vrbo.com/lodging/90000000/89520000/89512100/89512053/f9606d68.jpg?impolicy=resizecrop&amp;rw=1200&amp;ra=fit" TargetMode="External"/><Relationship Id="rId105" Type="http://schemas.openxmlformats.org/officeDocument/2006/relationships/hyperlink" Target="https://www.airbnb.com/rooms/1536337940528020795" TargetMode="External"/><Relationship Id="rId226" Type="http://schemas.openxmlformats.org/officeDocument/2006/relationships/hyperlink" Target="https://a0.muscache.com/im/pictures/prohost-api/Hosting-18446761/original/9daf4de0-7ec0-4e36-8e6b-2486cac83ea9.jpeg" TargetMode="External"/><Relationship Id="rId347" Type="http://schemas.openxmlformats.org/officeDocument/2006/relationships/hyperlink" Target="https://www.airbnb.com/rooms/913211058348614331" TargetMode="External"/><Relationship Id="rId468" Type="http://schemas.openxmlformats.org/officeDocument/2006/relationships/hyperlink" Target="https://www.vrbo.com/3127235" TargetMode="External"/><Relationship Id="rId104" Type="http://schemas.openxmlformats.org/officeDocument/2006/relationships/hyperlink" Target="https://a0.muscache.com/im/pictures/6e945427-efd0-45c5-864f-08c2a4649388.jpg" TargetMode="External"/><Relationship Id="rId225" Type="http://schemas.openxmlformats.org/officeDocument/2006/relationships/hyperlink" Target="https://www.airbnb.com/rooms/18446761" TargetMode="External"/><Relationship Id="rId346" Type="http://schemas.openxmlformats.org/officeDocument/2006/relationships/hyperlink" Target="https://a0.muscache.com/im/pictures/miso/Hosting-1298061855942408518/original/fa8c5cde-9d2e-4377-a6fc-73300aa4b65e.jpeg" TargetMode="External"/><Relationship Id="rId467" Type="http://schemas.openxmlformats.org/officeDocument/2006/relationships/hyperlink" Target="https://media.vrbo.com/lodging/72000000/71730000/71723200/71723146/486159c5.jpg?impolicy=resizecrop&amp;rw=1200&amp;ra=fit" TargetMode="External"/><Relationship Id="rId109" Type="http://schemas.openxmlformats.org/officeDocument/2006/relationships/hyperlink" Target="https://www.airbnb.com/rooms/978821726326556634" TargetMode="External"/><Relationship Id="rId108" Type="http://schemas.openxmlformats.org/officeDocument/2006/relationships/hyperlink" Target="https://a0.muscache.com/im/pictures/prohost-api/Hosting-889122155201012767/original/991a7491-c861-467d-be40-e6a96f4765af.jpeg" TargetMode="External"/><Relationship Id="rId229" Type="http://schemas.openxmlformats.org/officeDocument/2006/relationships/hyperlink" Target="https://www.airbnb.com/rooms/52379492" TargetMode="External"/><Relationship Id="rId220" Type="http://schemas.openxmlformats.org/officeDocument/2006/relationships/hyperlink" Target="https://a0.muscache.com/im/pictures/hosting/Hosting-1418816858231947568/original/79e9a313-abef-4a0e-b923-8e892daa3878.jpeg" TargetMode="External"/><Relationship Id="rId341" Type="http://schemas.openxmlformats.org/officeDocument/2006/relationships/hyperlink" Target="https://www.airbnb.com/rooms/1546447042491424271" TargetMode="External"/><Relationship Id="rId462" Type="http://schemas.openxmlformats.org/officeDocument/2006/relationships/hyperlink" Target="https://www.airbnb.com/rooms/766180360760581890" TargetMode="External"/><Relationship Id="rId340" Type="http://schemas.openxmlformats.org/officeDocument/2006/relationships/hyperlink" Target="https://a0.muscache.com/im/pictures/miso/Hosting-1275372588171031959/original/308fbc07-deae-48fc-950b-9cd155e35fa9.jpeg" TargetMode="External"/><Relationship Id="rId461" Type="http://schemas.openxmlformats.org/officeDocument/2006/relationships/hyperlink" Target="https://a0.muscache.com/im/pictures/miso/Hosting-39942730/original/24ca7827-539f-4ba7-9262-7837bab092cb.jpeg" TargetMode="External"/><Relationship Id="rId460" Type="http://schemas.openxmlformats.org/officeDocument/2006/relationships/hyperlink" Target="https://www.airbnb.com/rooms/39942730" TargetMode="External"/><Relationship Id="rId103" Type="http://schemas.openxmlformats.org/officeDocument/2006/relationships/hyperlink" Target="https://www.airbnb.com/rooms/5839043" TargetMode="External"/><Relationship Id="rId224" Type="http://schemas.openxmlformats.org/officeDocument/2006/relationships/hyperlink" Target="https://a0.muscache.com/im/pictures/bc86edec-5c27-4dac-809d-7e76faa3b863.jpg" TargetMode="External"/><Relationship Id="rId345" Type="http://schemas.openxmlformats.org/officeDocument/2006/relationships/hyperlink" Target="https://www.airbnb.com/rooms/1298061855942408518" TargetMode="External"/><Relationship Id="rId466" Type="http://schemas.openxmlformats.org/officeDocument/2006/relationships/hyperlink" Target="https://www.vrbo.com/2497783" TargetMode="External"/><Relationship Id="rId102" Type="http://schemas.openxmlformats.org/officeDocument/2006/relationships/hyperlink" Target="https://a0.muscache.com/im/pictures/prohost-api/Hosting-702193084589197912/original/b13783be-3cbf-4f3f-8995-271ba8a97ee5.jpeg" TargetMode="External"/><Relationship Id="rId223" Type="http://schemas.openxmlformats.org/officeDocument/2006/relationships/hyperlink" Target="https://www.airbnb.com/rooms/15872791" TargetMode="External"/><Relationship Id="rId344" Type="http://schemas.openxmlformats.org/officeDocument/2006/relationships/hyperlink" Target="https://media.vrbo.com/lodging/77000000/76430000/76428600/76428573/9d6e1a2e.jpg?impolicy=resizecrop&amp;rw=1200&amp;ra=fit" TargetMode="External"/><Relationship Id="rId465" Type="http://schemas.openxmlformats.org/officeDocument/2006/relationships/hyperlink" Target="https://a0.muscache.com/im/pictures/miso/Hosting-876945084327890428/original/b9f1c6fd-bc4a-4a5d-a707-30495962e3df.jpeg?aki_policy=x_large" TargetMode="External"/><Relationship Id="rId101" Type="http://schemas.openxmlformats.org/officeDocument/2006/relationships/hyperlink" Target="https://www.airbnb.com/rooms/702193084589197912" TargetMode="External"/><Relationship Id="rId222" Type="http://schemas.openxmlformats.org/officeDocument/2006/relationships/hyperlink" Target="https://a0.muscache.com/im/pictures/142adb85-0000-4831-9654-3592a61b3491.jpg" TargetMode="External"/><Relationship Id="rId343" Type="http://schemas.openxmlformats.org/officeDocument/2006/relationships/hyperlink" Target="https://www.vrbo.com/2709038" TargetMode="External"/><Relationship Id="rId464" Type="http://schemas.openxmlformats.org/officeDocument/2006/relationships/hyperlink" Target="https://www.airbnb.com/rooms/876945084327890428" TargetMode="External"/><Relationship Id="rId100" Type="http://schemas.openxmlformats.org/officeDocument/2006/relationships/hyperlink" Target="https://a0.muscache.com/im/pictures/a469b533-e291-48de-b567-d6cc6009a692.jpg" TargetMode="External"/><Relationship Id="rId221" Type="http://schemas.openxmlformats.org/officeDocument/2006/relationships/hyperlink" Target="https://www.airbnb.com/rooms/15799887" TargetMode="External"/><Relationship Id="rId342" Type="http://schemas.openxmlformats.org/officeDocument/2006/relationships/hyperlink" Target="https://a0.muscache.com/im/pictures/hosting/Hosting-1546447042491424271/original/7c9eb680-d85e-47a5-af6f-a2a6eb2ddd46.png" TargetMode="External"/><Relationship Id="rId463" Type="http://schemas.openxmlformats.org/officeDocument/2006/relationships/hyperlink" Target="https://a0.muscache.com/im/pictures/miso/Hosting-766180360760581890/original/c380e248-1d00-4401-bfea-649f330aafa0.jpeg" TargetMode="External"/><Relationship Id="rId217" Type="http://schemas.openxmlformats.org/officeDocument/2006/relationships/hyperlink" Target="https://www.airbnb.com/rooms/1414630090352679247" TargetMode="External"/><Relationship Id="rId338" Type="http://schemas.openxmlformats.org/officeDocument/2006/relationships/hyperlink" Target="https://media.vrbo.com/lodging/93000000/92340000/92338200/92338120/17c6d85d.jpg?impolicy=resizecrop&amp;rw=1200&amp;ra=fit" TargetMode="External"/><Relationship Id="rId459" Type="http://schemas.openxmlformats.org/officeDocument/2006/relationships/hyperlink" Target="https://a0.muscache.com/im/pictures/b229dde8-079a-40fe-b506-0c48b7f14e79.jpg" TargetMode="External"/><Relationship Id="rId216" Type="http://schemas.openxmlformats.org/officeDocument/2006/relationships/hyperlink" Target="https://a0.muscache.com/im/pictures/ff55f9f9-cf97-4fb5-b24d-0d8033128995.jpg" TargetMode="External"/><Relationship Id="rId337" Type="http://schemas.openxmlformats.org/officeDocument/2006/relationships/hyperlink" Target="https://www.vrbo.com/3323495" TargetMode="External"/><Relationship Id="rId458" Type="http://schemas.openxmlformats.org/officeDocument/2006/relationships/hyperlink" Target="https://www.airbnb.com/rooms/28159901" TargetMode="External"/><Relationship Id="rId215" Type="http://schemas.openxmlformats.org/officeDocument/2006/relationships/hyperlink" Target="https://www.airbnb.com/rooms/1265252012710464882" TargetMode="External"/><Relationship Id="rId336" Type="http://schemas.openxmlformats.org/officeDocument/2006/relationships/hyperlink" Target="https://a0.muscache.com/im/pictures/fb580362-67e6-4724-8a2b-06848ea86b21.jpg" TargetMode="External"/><Relationship Id="rId457" Type="http://schemas.openxmlformats.org/officeDocument/2006/relationships/hyperlink" Target="https://a0.muscache.com/im/pictures/d381649c-5e22-4e68-b2fd-f1fbe2c7b8c3.jpg?aki_policy=x_large" TargetMode="External"/><Relationship Id="rId214" Type="http://schemas.openxmlformats.org/officeDocument/2006/relationships/hyperlink" Target="https://a0.muscache.com/im/pictures/miso/Hosting-1187833188056109244/original/9e47e7f8-51c9-42f2-8ad5-79da2f320d01.jpeg" TargetMode="External"/><Relationship Id="rId335" Type="http://schemas.openxmlformats.org/officeDocument/2006/relationships/hyperlink" Target="https://www.airbnb.com/rooms/20859098" TargetMode="External"/><Relationship Id="rId456" Type="http://schemas.openxmlformats.org/officeDocument/2006/relationships/hyperlink" Target="https://www.airbnb.com/rooms/24597604" TargetMode="External"/><Relationship Id="rId219" Type="http://schemas.openxmlformats.org/officeDocument/2006/relationships/hyperlink" Target="https://www.airbnb.com/rooms/1418816858231947568" TargetMode="External"/><Relationship Id="rId218" Type="http://schemas.openxmlformats.org/officeDocument/2006/relationships/hyperlink" Target="https://a0.muscache.com/im/pictures/hosting/Hosting-U3RheVN1cHBseUxpc3Rpbmc6MTQxNDYzMDA5MDM1MjY3OTI0Nw==/original/2926dcc8-d1df-4ea0-bc96-72cddf2d18cd.png" TargetMode="External"/><Relationship Id="rId339" Type="http://schemas.openxmlformats.org/officeDocument/2006/relationships/hyperlink" Target="https://www.airbnb.com/rooms/1275372588171031959" TargetMode="External"/><Relationship Id="rId330" Type="http://schemas.openxmlformats.org/officeDocument/2006/relationships/hyperlink" Target="https://a0.muscache.com/im/pictures/miso/Hosting-994268542472395487/original/c34ccc77-4d45-439a-961e-1f06fb1fde42.jpeg" TargetMode="External"/><Relationship Id="rId451" Type="http://schemas.openxmlformats.org/officeDocument/2006/relationships/hyperlink" Target="https://a0.muscache.com/im/pictures/hosting/Hosting-U3RheVN1cHBseUxpc3Rpbmc6MTE1MjM3Njk0NjUxNzQwNzk3Nw%3D%3D/original/970d500b-173e-4631-b06b-20b62b121e8c.jpeg" TargetMode="External"/><Relationship Id="rId450" Type="http://schemas.openxmlformats.org/officeDocument/2006/relationships/hyperlink" Target="https://www.airbnb.com/rooms/1152376946517407977" TargetMode="External"/><Relationship Id="rId213" Type="http://schemas.openxmlformats.org/officeDocument/2006/relationships/hyperlink" Target="https://www.airbnb.com/rooms/1187833188056109244" TargetMode="External"/><Relationship Id="rId334" Type="http://schemas.openxmlformats.org/officeDocument/2006/relationships/hyperlink" Target="https://a0.muscache.com/im/pictures/hosting/Hosting-1088108843816978847/original/7dbb87e9-71c7-456f-acd3-641aa537a93f.jpeg" TargetMode="External"/><Relationship Id="rId455" Type="http://schemas.openxmlformats.org/officeDocument/2006/relationships/hyperlink" Target="https://a0.muscache.com/im/pictures/hosting/Hosting-19549806/original/81b07ac1-b5e1-4c2a-acc4-db949cb20e3f.jpeg" TargetMode="External"/><Relationship Id="rId212" Type="http://schemas.openxmlformats.org/officeDocument/2006/relationships/hyperlink" Target="https://a0.muscache.com/im/pictures/hosting/Hosting-753578958184288318/original/933af0ee-5fd5-4bb3-b2c4-09692555a0ba.jpeg" TargetMode="External"/><Relationship Id="rId333" Type="http://schemas.openxmlformats.org/officeDocument/2006/relationships/hyperlink" Target="https://www.airbnb.com/rooms/1088108843816978847" TargetMode="External"/><Relationship Id="rId454" Type="http://schemas.openxmlformats.org/officeDocument/2006/relationships/hyperlink" Target="https://www.airbnb.com/rooms/19549806" TargetMode="External"/><Relationship Id="rId211" Type="http://schemas.openxmlformats.org/officeDocument/2006/relationships/hyperlink" Target="https://www.airbnb.com/rooms/753578958184288318" TargetMode="External"/><Relationship Id="rId332" Type="http://schemas.openxmlformats.org/officeDocument/2006/relationships/hyperlink" Target="https://a0.muscache.com/im/pictures/hosting/Hosting-1553789977170182341/original/6cca0c7d-0e66-4cef-a0ab-08bb0bf8f23d.png" TargetMode="External"/><Relationship Id="rId453" Type="http://schemas.openxmlformats.org/officeDocument/2006/relationships/hyperlink" Target="https://a0.muscache.com/im/pictures/prohost-api/Hosting-1303727133311393461/original/0da10ec6-746b-4aa7-b298-a982c4511eb4.jpeg" TargetMode="External"/><Relationship Id="rId210" Type="http://schemas.openxmlformats.org/officeDocument/2006/relationships/hyperlink" Target="https://a0.muscache.com/im/pictures/miso/Hosting-1173274369133970398/original/1cc73af3-ed81-4453-a291-d1e1c7a4481c.jpeg" TargetMode="External"/><Relationship Id="rId331" Type="http://schemas.openxmlformats.org/officeDocument/2006/relationships/hyperlink" Target="https://www.airbnb.com/rooms/1553789977170182341" TargetMode="External"/><Relationship Id="rId452" Type="http://schemas.openxmlformats.org/officeDocument/2006/relationships/hyperlink" Target="https://www.airbnb.com/rooms/1303727133311393461" TargetMode="External"/><Relationship Id="rId370" Type="http://schemas.openxmlformats.org/officeDocument/2006/relationships/hyperlink" Target="https://a0.muscache.com/im/pictures/hosting/Hosting-U3RheVN1cHBseUxpc3Rpbmc6MTMxMzI3NDg1NTA4MjUzOTc2Mg%3D%3D/original/2ecc3353-2aff-4ca6-afd9-7287b8c69340.jpeg" TargetMode="External"/><Relationship Id="rId129" Type="http://schemas.openxmlformats.org/officeDocument/2006/relationships/hyperlink" Target="https://www.airbnb.com/rooms/1562546177630236463" TargetMode="External"/><Relationship Id="rId128" Type="http://schemas.openxmlformats.org/officeDocument/2006/relationships/hyperlink" Target="https://media.vrbo.com/lodging/91000000/90110000/90103500/90103434/ee827e83.jpg?impolicy=resizecrop&amp;rw=1200&amp;ra=fit" TargetMode="External"/><Relationship Id="rId249" Type="http://schemas.openxmlformats.org/officeDocument/2006/relationships/hyperlink" Target="https://www.airbnb.com/rooms/51341759" TargetMode="External"/><Relationship Id="rId127" Type="http://schemas.openxmlformats.org/officeDocument/2006/relationships/hyperlink" Target="https://www.vrbo.com/3168327" TargetMode="External"/><Relationship Id="rId248" Type="http://schemas.openxmlformats.org/officeDocument/2006/relationships/hyperlink" Target="https://a0.muscache.com/im/pictures/prohost-api/Hosting-53775012/original/cb189e21-c34e-4791-88d8-80c72fece8c5.jpeg" TargetMode="External"/><Relationship Id="rId369" Type="http://schemas.openxmlformats.org/officeDocument/2006/relationships/hyperlink" Target="https://www.airbnb.com/rooms/1313274855082539762" TargetMode="External"/><Relationship Id="rId126" Type="http://schemas.openxmlformats.org/officeDocument/2006/relationships/hyperlink" Target="https://a0.muscache.com/im/pictures/miso/Hosting-1308877263618037511/original/a6b8fab9-11aa-438b-b272-fe9199b528d4.jpeg" TargetMode="External"/><Relationship Id="rId247" Type="http://schemas.openxmlformats.org/officeDocument/2006/relationships/hyperlink" Target="https://www.airbnb.com/rooms/53775012" TargetMode="External"/><Relationship Id="rId368" Type="http://schemas.openxmlformats.org/officeDocument/2006/relationships/hyperlink" Target="https://a0.muscache.com/im/pictures/acf5afbb-32b2-4ef7-8a3f-2c57b2db2158.jpg" TargetMode="External"/><Relationship Id="rId121" Type="http://schemas.openxmlformats.org/officeDocument/2006/relationships/hyperlink" Target="https://www.vrbo.com/4943735" TargetMode="External"/><Relationship Id="rId242" Type="http://schemas.openxmlformats.org/officeDocument/2006/relationships/hyperlink" Target="https://media.vrbo.com/lodging/69000000/68100000/68095400/68095378/e107fc40.jpg?impolicy=resizecrop&amp;rw=1200&amp;ra=fit" TargetMode="External"/><Relationship Id="rId363" Type="http://schemas.openxmlformats.org/officeDocument/2006/relationships/hyperlink" Target="https://www.airbnb.com/rooms/1529731603783674979" TargetMode="External"/><Relationship Id="rId120" Type="http://schemas.openxmlformats.org/officeDocument/2006/relationships/hyperlink" Target="https://a0.muscache.com/im/pictures/miso/Hosting-649363588794734870/original/effc1f60-3588-46d4-b139-f3491dcface7.jpeg" TargetMode="External"/><Relationship Id="rId241" Type="http://schemas.openxmlformats.org/officeDocument/2006/relationships/hyperlink" Target="https://www.vrbo.com/2327548" TargetMode="External"/><Relationship Id="rId362" Type="http://schemas.openxmlformats.org/officeDocument/2006/relationships/hyperlink" Target="https://a0.muscache.com/im/pictures/hosting/Hosting-1505804591129055197/original/e1bba9f4-ac29-409c-a30b-01a4e68eab95.jpeg" TargetMode="External"/><Relationship Id="rId240" Type="http://schemas.openxmlformats.org/officeDocument/2006/relationships/hyperlink" Target="https://a0.muscache.com/im/pictures/hosting/Hosting-U3RheVN1cHBseUxpc3Rpbmc6NjMzNTkzMzY1ODYwNTQxMDE2/original/a68a167d-6bbb-42f7-92f7-4fad7fbfbcff.jpeg" TargetMode="External"/><Relationship Id="rId361" Type="http://schemas.openxmlformats.org/officeDocument/2006/relationships/hyperlink" Target="https://www.airbnb.com/rooms/1505804591129055197" TargetMode="External"/><Relationship Id="rId360" Type="http://schemas.openxmlformats.org/officeDocument/2006/relationships/hyperlink" Target="https://a0.muscache.com/im/pictures/hosting/Hosting-1280059132825894532/original/702dbeaa-5982-4e47-b710-e1a6ed2397a1.jpeg" TargetMode="External"/><Relationship Id="rId125" Type="http://schemas.openxmlformats.org/officeDocument/2006/relationships/hyperlink" Target="https://www.airbnb.com/rooms/1308877263618037511" TargetMode="External"/><Relationship Id="rId246" Type="http://schemas.openxmlformats.org/officeDocument/2006/relationships/hyperlink" Target="https://media.vrbo.com/lodging/108000000/107450000/107441400/107441395/8f57b96f.jpg?impolicy=resizecrop&amp;rw=1200&amp;ra=fit" TargetMode="External"/><Relationship Id="rId367" Type="http://schemas.openxmlformats.org/officeDocument/2006/relationships/hyperlink" Target="https://www.airbnb.com/rooms/53792954" TargetMode="External"/><Relationship Id="rId124" Type="http://schemas.openxmlformats.org/officeDocument/2006/relationships/hyperlink" Target="https://a0.muscache.com/im/pictures/a3f5fcd3-b2ff-4a9a-881b-666752f2d6e8.jpg" TargetMode="External"/><Relationship Id="rId245" Type="http://schemas.openxmlformats.org/officeDocument/2006/relationships/hyperlink" Target="https://www.vrbo.com/4129877" TargetMode="External"/><Relationship Id="rId366" Type="http://schemas.openxmlformats.org/officeDocument/2006/relationships/hyperlink" Target="https://a0.muscache.com/im/pictures/prohost-api/Hosting-1577172417651213767/original/af67708c-2dcf-4dfa-b304-49a0f29f0535.jpeg" TargetMode="External"/><Relationship Id="rId123" Type="http://schemas.openxmlformats.org/officeDocument/2006/relationships/hyperlink" Target="https://www.airbnb.com/rooms/946308559181632953" TargetMode="External"/><Relationship Id="rId244" Type="http://schemas.openxmlformats.org/officeDocument/2006/relationships/hyperlink" Target="https://media.vrbo.com/lodging/101000000/100140000/100135100/100135037/50e1d3d7.jpg?impolicy=resizecrop&amp;rw=1200&amp;ra=fit" TargetMode="External"/><Relationship Id="rId365" Type="http://schemas.openxmlformats.org/officeDocument/2006/relationships/hyperlink" Target="https://www.airbnb.com/rooms/1577172417651213767" TargetMode="External"/><Relationship Id="rId122" Type="http://schemas.openxmlformats.org/officeDocument/2006/relationships/hyperlink" Target="https://media.vrbo.com/lodging/123000000/122740000/122734600/122734593/8fd28044.jpg?impolicy=resizecrop&amp;rw=1200&amp;ra=fit" TargetMode="External"/><Relationship Id="rId243" Type="http://schemas.openxmlformats.org/officeDocument/2006/relationships/hyperlink" Target="https://www.vrbo.com/3691633" TargetMode="External"/><Relationship Id="rId364" Type="http://schemas.openxmlformats.org/officeDocument/2006/relationships/hyperlink" Target="https://a0.muscache.com/im/pictures/hosting/Hosting-1529731603783674979/original/10259202-bfe4-433f-ac94-8052f968c99d.jpeg" TargetMode="External"/><Relationship Id="rId95" Type="http://schemas.openxmlformats.org/officeDocument/2006/relationships/hyperlink" Target="https://www.vrbo.com/3043703" TargetMode="External"/><Relationship Id="rId94" Type="http://schemas.openxmlformats.org/officeDocument/2006/relationships/hyperlink" Target="https://a0.muscache.com/im/pictures/miso/Hosting-32870275/original/83f16db6-1e1f-4e83-9e0b-c8c18a520bb6.jpeg" TargetMode="External"/><Relationship Id="rId97" Type="http://schemas.openxmlformats.org/officeDocument/2006/relationships/hyperlink" Target="https://www.vrbo.com/895558" TargetMode="External"/><Relationship Id="rId96" Type="http://schemas.openxmlformats.org/officeDocument/2006/relationships/hyperlink" Target="https://media.vrbo.com/lodging/88000000/87840000/87840000/87839963/26d32bb0.jpg?impolicy=resizecrop&amp;rw=1200&amp;ra=fit" TargetMode="External"/><Relationship Id="rId99" Type="http://schemas.openxmlformats.org/officeDocument/2006/relationships/hyperlink" Target="https://www.airbnb.com/rooms/2430366" TargetMode="External"/><Relationship Id="rId98" Type="http://schemas.openxmlformats.org/officeDocument/2006/relationships/hyperlink" Target="https://media.vrbo.com/lodging/40000000/39960000/39953100/39953097/6c9d4e48.jpg?impolicy=resizecrop&amp;rw=1200&amp;ra=fit" TargetMode="External"/><Relationship Id="rId91" Type="http://schemas.openxmlformats.org/officeDocument/2006/relationships/hyperlink" Target="https://www.airbnb.com/rooms/42926254" TargetMode="External"/><Relationship Id="rId90" Type="http://schemas.openxmlformats.org/officeDocument/2006/relationships/hyperlink" Target="https://a0.muscache.com/im/pictures/38e443c2-223d-4eb2-93f0-4290ac05f88b.jpg?aki_policy=x_large" TargetMode="External"/><Relationship Id="rId93" Type="http://schemas.openxmlformats.org/officeDocument/2006/relationships/hyperlink" Target="https://www.airbnb.com/rooms/32870275" TargetMode="External"/><Relationship Id="rId92" Type="http://schemas.openxmlformats.org/officeDocument/2006/relationships/hyperlink" Target="https://a0.muscache.com/im/pictures/hosting/Hosting-42926254/original/299be7fe-02a0-4908-b83a-c74630cd9548.jpeg" TargetMode="External"/><Relationship Id="rId118" Type="http://schemas.openxmlformats.org/officeDocument/2006/relationships/hyperlink" Target="https://a0.muscache.com/im/pictures/prohost-api/Hosting-1415278417022210084/original/fe1b6af4-efba-43b4-ad70-5646169aaba0.jpeg" TargetMode="External"/><Relationship Id="rId239" Type="http://schemas.openxmlformats.org/officeDocument/2006/relationships/hyperlink" Target="https://www.airbnb.com/rooms/633593365860541016" TargetMode="External"/><Relationship Id="rId117" Type="http://schemas.openxmlformats.org/officeDocument/2006/relationships/hyperlink" Target="https://www.airbnb.com/rooms/1415278417022210084" TargetMode="External"/><Relationship Id="rId238" Type="http://schemas.openxmlformats.org/officeDocument/2006/relationships/hyperlink" Target="https://a0.muscache.com/im/pictures/miso/Hosting-619826198376333775/original/48138363-c54c-47a3-90fb-4fbdb0330b1f.jpeg" TargetMode="External"/><Relationship Id="rId359" Type="http://schemas.openxmlformats.org/officeDocument/2006/relationships/hyperlink" Target="https://www.airbnb.com/rooms/1280059132825894532" TargetMode="External"/><Relationship Id="rId116" Type="http://schemas.openxmlformats.org/officeDocument/2006/relationships/hyperlink" Target="https://a0.muscache.com/im/pictures/miso/Hosting-958645030241526428/original/ac601b9d-4e85-42fd-ac31-c9641c13ebb6.jpeg" TargetMode="External"/><Relationship Id="rId237" Type="http://schemas.openxmlformats.org/officeDocument/2006/relationships/hyperlink" Target="https://www.airbnb.com/rooms/619826198376333775" TargetMode="External"/><Relationship Id="rId358" Type="http://schemas.openxmlformats.org/officeDocument/2006/relationships/hyperlink" Target="https://media.vrbo.com/lodging/83000000/82940000/82934500/82934487/9083862d.jpg?impolicy=resizecrop&amp;rw=1200&amp;ra=fit" TargetMode="External"/><Relationship Id="rId115" Type="http://schemas.openxmlformats.org/officeDocument/2006/relationships/hyperlink" Target="https://www.airbnb.com/rooms/958645030241526428" TargetMode="External"/><Relationship Id="rId236" Type="http://schemas.openxmlformats.org/officeDocument/2006/relationships/hyperlink" Target="https://a0.muscache.com/im/pictures/9771a8c0-103e-4480-8ae8-8e1a31a09636.jpg" TargetMode="External"/><Relationship Id="rId357" Type="http://schemas.openxmlformats.org/officeDocument/2006/relationships/hyperlink" Target="https://www.vrbo.com/2888607" TargetMode="External"/><Relationship Id="rId119" Type="http://schemas.openxmlformats.org/officeDocument/2006/relationships/hyperlink" Target="https://www.airbnb.com/rooms/649363588794734870" TargetMode="External"/><Relationship Id="rId110" Type="http://schemas.openxmlformats.org/officeDocument/2006/relationships/hyperlink" Target="https://a0.muscache.com/im/pictures/miso/Hosting-978821726326556634/original/9c0bb79b-8d3f-4c2e-a43c-be959ffb36e2.jpeg" TargetMode="External"/><Relationship Id="rId231" Type="http://schemas.openxmlformats.org/officeDocument/2006/relationships/hyperlink" Target="https://www.airbnb.com/rooms/52720120" TargetMode="External"/><Relationship Id="rId352" Type="http://schemas.openxmlformats.org/officeDocument/2006/relationships/hyperlink" Target="https://media.vrbo.com/lodging/89000000/88970000/88966200/88966182/c7e2292d.jpg?impolicy=resizecrop&amp;rw=1200&amp;ra=fit" TargetMode="External"/><Relationship Id="rId473" Type="http://schemas.openxmlformats.org/officeDocument/2006/relationships/hyperlink" Target="https://media.vrbo.com/lodging/114000000/113390000/113382400/113382375/a14e104d.jpg?impolicy=resizecrop&amp;rw=1200&amp;ra=fit" TargetMode="External"/><Relationship Id="rId230" Type="http://schemas.openxmlformats.org/officeDocument/2006/relationships/hyperlink" Target="https://a0.muscache.com/im/pictures/miso/Hosting-52379492/original/164c7265-5186-4d6a-8bfa-e12662545c35.png" TargetMode="External"/><Relationship Id="rId351" Type="http://schemas.openxmlformats.org/officeDocument/2006/relationships/hyperlink" Target="https://www.vrbo.com/3101857" TargetMode="External"/><Relationship Id="rId472" Type="http://schemas.openxmlformats.org/officeDocument/2006/relationships/hyperlink" Target="https://www.vrbo.com/4451723" TargetMode="External"/><Relationship Id="rId350" Type="http://schemas.openxmlformats.org/officeDocument/2006/relationships/hyperlink" Target="https://a0.muscache.com/im/pictures/hosting/Hosting-1329089761898009974/original/18e19905-9363-4cc7-a45c-e6160a235941.jpeg" TargetMode="External"/><Relationship Id="rId471" Type="http://schemas.openxmlformats.org/officeDocument/2006/relationships/hyperlink" Target="https://media.vrbo.com/lodging/107000000/106920000/106920000/106919902/4fe56964.jpg?impolicy=resizecrop&amp;rw=1200&amp;ra=fit" TargetMode="External"/><Relationship Id="rId470" Type="http://schemas.openxmlformats.org/officeDocument/2006/relationships/hyperlink" Target="https://www.vrbo.com/4099583" TargetMode="External"/><Relationship Id="rId114" Type="http://schemas.openxmlformats.org/officeDocument/2006/relationships/hyperlink" Target="https://media.vrbo.com/lodging/28000000/27140000/27131000/27130950/43f5b27a.jpg?impolicy=resizecrop&amp;rw=1200&amp;ra=fit" TargetMode="External"/><Relationship Id="rId235" Type="http://schemas.openxmlformats.org/officeDocument/2006/relationships/hyperlink" Target="https://www.airbnb.com/rooms/585998474331000758" TargetMode="External"/><Relationship Id="rId356" Type="http://schemas.openxmlformats.org/officeDocument/2006/relationships/hyperlink" Target="https://a0.muscache.com/im/pictures/hosting/Hosting-U3RheVN1cHBseUxpc3Rpbmc6MTA5NTIzNjUxNjI4NjI0MzU0Mg%3D%3D/original/9f87c04f-4ec6-46d1-a3c0-79c16fe98e75.jpeg" TargetMode="External"/><Relationship Id="rId113" Type="http://schemas.openxmlformats.org/officeDocument/2006/relationships/hyperlink" Target="https://www.vrbo.com/417823" TargetMode="External"/><Relationship Id="rId234" Type="http://schemas.openxmlformats.org/officeDocument/2006/relationships/hyperlink" Target="https://a0.muscache.com/im/pictures/8a735e7f-9d01-416b-8849-e01d96ea7605.jpg" TargetMode="External"/><Relationship Id="rId355" Type="http://schemas.openxmlformats.org/officeDocument/2006/relationships/hyperlink" Target="https://www.airbnb.com/rooms/1095236516286243542" TargetMode="External"/><Relationship Id="rId476" Type="http://schemas.openxmlformats.org/officeDocument/2006/relationships/drawing" Target="../drawings/drawing1.xml"/><Relationship Id="rId112" Type="http://schemas.openxmlformats.org/officeDocument/2006/relationships/hyperlink" Target="https://a0.muscache.com/im/pictures/9a117a2c-c8d9-403c-9b84-0156ef0a055c.jpg" TargetMode="External"/><Relationship Id="rId233" Type="http://schemas.openxmlformats.org/officeDocument/2006/relationships/hyperlink" Target="https://www.airbnb.com/rooms/53543566" TargetMode="External"/><Relationship Id="rId354" Type="http://schemas.openxmlformats.org/officeDocument/2006/relationships/hyperlink" Target="https://a0.muscache.com/im/pictures/prohost-api/Hosting-645615906249337710/original/207f8aef-e83a-4f0a-8bea-c1882e63deed.jpeg" TargetMode="External"/><Relationship Id="rId475" Type="http://schemas.openxmlformats.org/officeDocument/2006/relationships/hyperlink" Target="https://media.vrbo.com/lodging/126000000/125440000/125437200/125437132/4016ae3b.jpg?impolicy=resizecrop&amp;rw=1200&amp;ra=fit" TargetMode="External"/><Relationship Id="rId111" Type="http://schemas.openxmlformats.org/officeDocument/2006/relationships/hyperlink" Target="https://www.airbnb.com/rooms/35677191" TargetMode="External"/><Relationship Id="rId232" Type="http://schemas.openxmlformats.org/officeDocument/2006/relationships/hyperlink" Target="https://a0.muscache.com/im/pictures/miso/Hosting-52720120/original/84874c52-e4b4-4ac3-ae65-f55f0ee5514f.jpeg" TargetMode="External"/><Relationship Id="rId353" Type="http://schemas.openxmlformats.org/officeDocument/2006/relationships/hyperlink" Target="https://www.airbnb.com/rooms/645615906249337710" TargetMode="External"/><Relationship Id="rId474" Type="http://schemas.openxmlformats.org/officeDocument/2006/relationships/hyperlink" Target="https://www.vrbo.com/5069368" TargetMode="External"/><Relationship Id="rId305" Type="http://schemas.openxmlformats.org/officeDocument/2006/relationships/hyperlink" Target="https://www.airbnb.com/rooms/610114342835163551" TargetMode="External"/><Relationship Id="rId426" Type="http://schemas.openxmlformats.org/officeDocument/2006/relationships/hyperlink" Target="https://www.airbnb.com/rooms/1627864318821290219" TargetMode="External"/><Relationship Id="rId304" Type="http://schemas.openxmlformats.org/officeDocument/2006/relationships/hyperlink" Target="https://a0.muscache.com/im/pictures/hosting/Hosting-15649942/original/906f8b46-9bdc-4d7b-8b07-f50d876ae0e8.jpeg" TargetMode="External"/><Relationship Id="rId425" Type="http://schemas.openxmlformats.org/officeDocument/2006/relationships/hyperlink" Target="https://a0.muscache.com/im/pictures/miso/Hosting-16504959/original/f8ce5443-712b-4d20-9d0a-8b0e4db3c2a7.jpeg" TargetMode="External"/><Relationship Id="rId303" Type="http://schemas.openxmlformats.org/officeDocument/2006/relationships/hyperlink" Target="https://www.airbnb.com/rooms/15649942" TargetMode="External"/><Relationship Id="rId424" Type="http://schemas.openxmlformats.org/officeDocument/2006/relationships/hyperlink" Target="https://www.airbnb.com/rooms/16504959" TargetMode="External"/><Relationship Id="rId302" Type="http://schemas.openxmlformats.org/officeDocument/2006/relationships/hyperlink" Target="https://a0.muscache.com/im/pictures/ba7cae0b-8920-4dfe-ba1f-369a462d2bf0.jpg" TargetMode="External"/><Relationship Id="rId423" Type="http://schemas.openxmlformats.org/officeDocument/2006/relationships/hyperlink" Target="https://a0.muscache.com/im/pictures/hosting/Hosting-555803458596176255/original/488406b6-ffda-485d-8ffd-f335a195a713.jpeg" TargetMode="External"/><Relationship Id="rId309" Type="http://schemas.openxmlformats.org/officeDocument/2006/relationships/hyperlink" Target="https://www.airbnb.com/rooms/18424609" TargetMode="External"/><Relationship Id="rId308" Type="http://schemas.openxmlformats.org/officeDocument/2006/relationships/hyperlink" Target="https://a0.muscache.com/im/pictures/miso/Hosting-1136169976093009229/original/b462913f-35fa-46b3-abb4-af579f47225a.jpeg" TargetMode="External"/><Relationship Id="rId429" Type="http://schemas.openxmlformats.org/officeDocument/2006/relationships/hyperlink" Target="https://media.vrbo.com/lodging/115000000/114770000/114763900/114763817/139e890f.jpg?impolicy=resizecrop&amp;rw=1200&amp;ra=fit" TargetMode="External"/><Relationship Id="rId307" Type="http://schemas.openxmlformats.org/officeDocument/2006/relationships/hyperlink" Target="https://www.airbnb.com/rooms/1136169976093009229" TargetMode="External"/><Relationship Id="rId428" Type="http://schemas.openxmlformats.org/officeDocument/2006/relationships/hyperlink" Target="https://www.vrbo.com/4525678" TargetMode="External"/><Relationship Id="rId306" Type="http://schemas.openxmlformats.org/officeDocument/2006/relationships/hyperlink" Target="https://a0.muscache.com/im/pictures/prohost-api/Hosting-610114342835163551/original/43be84f6-b411-4dd7-b12b-068e26365516.jpeg" TargetMode="External"/><Relationship Id="rId427" Type="http://schemas.openxmlformats.org/officeDocument/2006/relationships/hyperlink" Target="https://a0.muscache.com/im/pictures/hosting/Hosting-1627864318821290219/original/fc6e244d-36f9-4635-9463-a17dc0497e99.jpeg" TargetMode="External"/><Relationship Id="rId301" Type="http://schemas.openxmlformats.org/officeDocument/2006/relationships/hyperlink" Target="https://www.airbnb.com/rooms/24965331" TargetMode="External"/><Relationship Id="rId422" Type="http://schemas.openxmlformats.org/officeDocument/2006/relationships/hyperlink" Target="https://www.airbnb.com/rooms/555803458596176255" TargetMode="External"/><Relationship Id="rId300" Type="http://schemas.openxmlformats.org/officeDocument/2006/relationships/hyperlink" Target="https://a0.muscache.com/im/pictures/033ef5b2-ce48-4949-b0ae-442f2782b6b3.jpg" TargetMode="External"/><Relationship Id="rId421" Type="http://schemas.openxmlformats.org/officeDocument/2006/relationships/hyperlink" Target="https://a0.muscache.com/im/pictures/prohost-api/Hosting-1413775827872063311/original/7aa1567d-f29c-4653-9451-917dce6a5c8b.jpeg" TargetMode="External"/><Relationship Id="rId420" Type="http://schemas.openxmlformats.org/officeDocument/2006/relationships/hyperlink" Target="https://www.airbnb.com/rooms/1413775827872063311" TargetMode="External"/><Relationship Id="rId415" Type="http://schemas.openxmlformats.org/officeDocument/2006/relationships/hyperlink" Target="https://a0.muscache.com/im/pictures/hosting/Hosting-1200079517170756971/original/425aba2d-1a53-42be-880e-45f8158029d7.jpeg" TargetMode="External"/><Relationship Id="rId414" Type="http://schemas.openxmlformats.org/officeDocument/2006/relationships/hyperlink" Target="https://www.airbnb.com/rooms/1200079517170756971" TargetMode="External"/><Relationship Id="rId413" Type="http://schemas.openxmlformats.org/officeDocument/2006/relationships/hyperlink" Target="https://a0.muscache.com/im/pictures/miso/Hosting-1435136103988666235/original/86fe5aec-9842-4c2e-b210-70f4291c9102.jpeg" TargetMode="External"/><Relationship Id="rId412" Type="http://schemas.openxmlformats.org/officeDocument/2006/relationships/hyperlink" Target="https://www.airbnb.com/rooms/1435136103988666235" TargetMode="External"/><Relationship Id="rId419" Type="http://schemas.openxmlformats.org/officeDocument/2006/relationships/hyperlink" Target="https://a0.muscache.com/im/pictures/f9a19f9e-4ad5-4165-a446-732421cc1a9d.jpg" TargetMode="External"/><Relationship Id="rId418" Type="http://schemas.openxmlformats.org/officeDocument/2006/relationships/hyperlink" Target="https://www.airbnb.com/rooms/16160536" TargetMode="External"/><Relationship Id="rId417" Type="http://schemas.openxmlformats.org/officeDocument/2006/relationships/hyperlink" Target="https://media.vrbo.com/lodging/35000000/34850000/34843100/34843038/5444fd17.jpg?impolicy=resizecrop&amp;rw=1200&amp;ra=fit" TargetMode="External"/><Relationship Id="rId416" Type="http://schemas.openxmlformats.org/officeDocument/2006/relationships/hyperlink" Target="https://www.vrbo.com/3176824ha" TargetMode="External"/><Relationship Id="rId411" Type="http://schemas.openxmlformats.org/officeDocument/2006/relationships/hyperlink" Target="https://a0.muscache.com/im/pictures/miso/Hosting-1082061300046868302/original/3b1a3260-c3af-4fe8-9424-938e7cedfc99.jpeg" TargetMode="External"/><Relationship Id="rId410" Type="http://schemas.openxmlformats.org/officeDocument/2006/relationships/hyperlink" Target="https://www.airbnb.com/rooms/1082061300046868302" TargetMode="External"/><Relationship Id="rId206" Type="http://schemas.openxmlformats.org/officeDocument/2006/relationships/hyperlink" Target="https://a0.muscache.com/im/pictures/hosting/Hosting-1382584217655472134/original/5913bfc8-0de3-4094-b40b-52865252f8b6.jpeg" TargetMode="External"/><Relationship Id="rId327" Type="http://schemas.openxmlformats.org/officeDocument/2006/relationships/hyperlink" Target="https://www.airbnb.com/rooms/52186921" TargetMode="External"/><Relationship Id="rId448" Type="http://schemas.openxmlformats.org/officeDocument/2006/relationships/hyperlink" Target="https://www.airbnb.com/rooms/1045232295254923683" TargetMode="External"/><Relationship Id="rId205" Type="http://schemas.openxmlformats.org/officeDocument/2006/relationships/hyperlink" Target="https://www.airbnb.com/rooms/1382584217655472134" TargetMode="External"/><Relationship Id="rId326" Type="http://schemas.openxmlformats.org/officeDocument/2006/relationships/hyperlink" Target="https://a0.muscache.com/im/pictures/hosting/Hosting-1434371759076862549/original/ae6652a2-fb31-462e-8658-7027bffc74e0.jpeg" TargetMode="External"/><Relationship Id="rId447" Type="http://schemas.openxmlformats.org/officeDocument/2006/relationships/hyperlink" Target="https://a0.muscache.com/im/pictures/miso/Hosting-1013771125523775050/original/2a76dcdc-1b87-48a5-a8d5-3fc946e76257.jpeg" TargetMode="External"/><Relationship Id="rId204" Type="http://schemas.openxmlformats.org/officeDocument/2006/relationships/hyperlink" Target="https://a0.muscache.com/im/pictures/4effffa1-b53a-4650-af5c-19b34fc65f2d.jpg" TargetMode="External"/><Relationship Id="rId325" Type="http://schemas.openxmlformats.org/officeDocument/2006/relationships/hyperlink" Target="https://www.airbnb.com/rooms/1434371759076862549" TargetMode="External"/><Relationship Id="rId446" Type="http://schemas.openxmlformats.org/officeDocument/2006/relationships/hyperlink" Target="https://www.airbnb.com/rooms/1013771125523775050" TargetMode="External"/><Relationship Id="rId203" Type="http://schemas.openxmlformats.org/officeDocument/2006/relationships/hyperlink" Target="https://www.airbnb.com/rooms/26272996" TargetMode="External"/><Relationship Id="rId324" Type="http://schemas.openxmlformats.org/officeDocument/2006/relationships/hyperlink" Target="https://media.vrbo.com/lodging/97000000/96160000/96153700/96153675/127acdf3.jpg?impolicy=resizecrop&amp;rw=1200&amp;ra=fit" TargetMode="External"/><Relationship Id="rId445" Type="http://schemas.openxmlformats.org/officeDocument/2006/relationships/hyperlink" Target="https://a0.muscache.com/im/pictures/prohost-api/Hosting-1176866619702300538/original/04985822-d785-4982-94d3-c04bc328890e.jpeg" TargetMode="External"/><Relationship Id="rId209" Type="http://schemas.openxmlformats.org/officeDocument/2006/relationships/hyperlink" Target="https://www.airbnb.com/rooms/1173274369133970398" TargetMode="External"/><Relationship Id="rId208" Type="http://schemas.openxmlformats.org/officeDocument/2006/relationships/hyperlink" Target="https://a0.muscache.com/im/pictures/miso/Hosting-1208783051481561285/original/b95965da-9041-4a4e-9e7c-a2177a592857.png" TargetMode="External"/><Relationship Id="rId329" Type="http://schemas.openxmlformats.org/officeDocument/2006/relationships/hyperlink" Target="https://www.airbnb.com/rooms/994268542472395487" TargetMode="External"/><Relationship Id="rId207" Type="http://schemas.openxmlformats.org/officeDocument/2006/relationships/hyperlink" Target="https://www.airbnb.com/rooms/1208783051481561285" TargetMode="External"/><Relationship Id="rId328" Type="http://schemas.openxmlformats.org/officeDocument/2006/relationships/hyperlink" Target="https://a0.muscache.com/im/pictures/miso/Hosting-52186921/original/4da43eb0-2b20-484b-8486-7aa3055a655d.jpeg" TargetMode="External"/><Relationship Id="rId449" Type="http://schemas.openxmlformats.org/officeDocument/2006/relationships/hyperlink" Target="https://a0.muscache.com/im/pictures/miso/Hosting-1045232295254923683/original/e00f5cac-8a5f-4817-951d-e798cca73ca6.jpeg" TargetMode="External"/><Relationship Id="rId440" Type="http://schemas.openxmlformats.org/officeDocument/2006/relationships/hyperlink" Target="https://www.airbnb.com/rooms/1263190969048974107" TargetMode="External"/><Relationship Id="rId202" Type="http://schemas.openxmlformats.org/officeDocument/2006/relationships/hyperlink" Target="https://a0.muscache.com/im/pictures/hosting/Hosting-745618305092570417/original/f761c817-75b6-47fb-a8d5-7ab9eef12252.jpeg" TargetMode="External"/><Relationship Id="rId323" Type="http://schemas.openxmlformats.org/officeDocument/2006/relationships/hyperlink" Target="https://www.vrbo.com/3515194" TargetMode="External"/><Relationship Id="rId444" Type="http://schemas.openxmlformats.org/officeDocument/2006/relationships/hyperlink" Target="https://www.airbnb.com/rooms/1176866619702300538" TargetMode="External"/><Relationship Id="rId201" Type="http://schemas.openxmlformats.org/officeDocument/2006/relationships/hyperlink" Target="https://www.airbnb.com/rooms/745618305092570417" TargetMode="External"/><Relationship Id="rId322" Type="http://schemas.openxmlformats.org/officeDocument/2006/relationships/hyperlink" Target="https://a0.muscache.com/im/pictures/miso/Hosting-1204434394596645279/original/1d4c33b6-11bd-4802-85da-63122fae2854.jpeg" TargetMode="External"/><Relationship Id="rId443" Type="http://schemas.openxmlformats.org/officeDocument/2006/relationships/hyperlink" Target="https://a0.muscache.com/im/pictures/miso/Hosting-1304006359880452795/original/4dd11826-e888-47cf-9669-98ba7a9642d3.jpeg" TargetMode="External"/><Relationship Id="rId200" Type="http://schemas.openxmlformats.org/officeDocument/2006/relationships/hyperlink" Target="https://a0.muscache.com/im/pictures/miso/Hosting-44230907/original/c163e4ba-574c-4531-9b32-213e15755552.jpeg" TargetMode="External"/><Relationship Id="rId321" Type="http://schemas.openxmlformats.org/officeDocument/2006/relationships/hyperlink" Target="https://www.airbnb.com/rooms/1204434394596645279" TargetMode="External"/><Relationship Id="rId442" Type="http://schemas.openxmlformats.org/officeDocument/2006/relationships/hyperlink" Target="https://www.airbnb.com/rooms/1304006359880452795" TargetMode="External"/><Relationship Id="rId320" Type="http://schemas.openxmlformats.org/officeDocument/2006/relationships/hyperlink" Target="https://a0.muscache.com/im/pictures/miso/Hosting-819657419447837201/original/d6e9b16a-df1f-4602-9b65-1c8a715aa66f.jpeg" TargetMode="External"/><Relationship Id="rId441" Type="http://schemas.openxmlformats.org/officeDocument/2006/relationships/hyperlink" Target="https://a0.muscache.com/im/pictures/miso/Hosting-1263190969048974107/original/fd2283d6-21c5-4f6c-a85a-1cbd76009039.jpeg" TargetMode="External"/><Relationship Id="rId316" Type="http://schemas.openxmlformats.org/officeDocument/2006/relationships/hyperlink" Target="https://a0.muscache.com/im/pictures/hosting/Hosting-U3RheVN1cHBseUxpc3Rpbmc6MTE0MTk1OTYxMzQ3MjcxNTUzMA%3D%3D/original/65acf350-1f58-4b86-919a-fbbd2e3ad5b4.png" TargetMode="External"/><Relationship Id="rId437" Type="http://schemas.openxmlformats.org/officeDocument/2006/relationships/hyperlink" Target="https://a0.muscache.com/im/pictures/hosting/Hosting-U3RheVN1cHBseUxpc3Rpbmc6MTEzOTg0MTg1MTc4MDI4NjY5MA%3D%3D/original/55dac42b-f2d9-499a-8741-672495c388f6.jpeg" TargetMode="External"/><Relationship Id="rId315" Type="http://schemas.openxmlformats.org/officeDocument/2006/relationships/hyperlink" Target="https://www.airbnb.com/rooms/1141959613472715530" TargetMode="External"/><Relationship Id="rId436" Type="http://schemas.openxmlformats.org/officeDocument/2006/relationships/hyperlink" Target="https://www.airbnb.com/rooms/1139841851780286690" TargetMode="External"/><Relationship Id="rId314" Type="http://schemas.openxmlformats.org/officeDocument/2006/relationships/hyperlink" Target="https://a0.muscache.com/im/pictures/9e0a5cc8-970a-429a-904a-93b20f8a900f.jpg" TargetMode="External"/><Relationship Id="rId435" Type="http://schemas.openxmlformats.org/officeDocument/2006/relationships/hyperlink" Target="https://a0.muscache.com/im/pictures/prohost-api/Hosting-1290752161833242421/original/87d7efb9-9685-45e8-a679-f1b2cf465fd9.jpeg" TargetMode="External"/><Relationship Id="rId313" Type="http://schemas.openxmlformats.org/officeDocument/2006/relationships/hyperlink" Target="https://www.airbnb.com/rooms/12302216" TargetMode="External"/><Relationship Id="rId434" Type="http://schemas.openxmlformats.org/officeDocument/2006/relationships/hyperlink" Target="https://www.airbnb.com/rooms/1290752161833242421" TargetMode="External"/><Relationship Id="rId319" Type="http://schemas.openxmlformats.org/officeDocument/2006/relationships/hyperlink" Target="https://www.airbnb.com/rooms/819657419447837201" TargetMode="External"/><Relationship Id="rId318" Type="http://schemas.openxmlformats.org/officeDocument/2006/relationships/hyperlink" Target="https://a0.muscache.com/im/pictures/miso/Hosting-1384171970031690200/original/4c214ee8-f5fb-485d-a978-018f89d40317.jpeg" TargetMode="External"/><Relationship Id="rId439" Type="http://schemas.openxmlformats.org/officeDocument/2006/relationships/hyperlink" Target="https://media.vrbo.com/lodging/125000000/124830000/124822400/124822341/54cde4fa.jpg?impolicy=resizecrop&amp;rw=1200&amp;ra=fit" TargetMode="External"/><Relationship Id="rId317" Type="http://schemas.openxmlformats.org/officeDocument/2006/relationships/hyperlink" Target="https://www.airbnb.com/rooms/1384171970031690200" TargetMode="External"/><Relationship Id="rId438" Type="http://schemas.openxmlformats.org/officeDocument/2006/relationships/hyperlink" Target="https://www.vrbo.com/5039607" TargetMode="External"/><Relationship Id="rId312" Type="http://schemas.openxmlformats.org/officeDocument/2006/relationships/hyperlink" Target="https://a0.muscache.com/im/pictures/miso/Hosting-612438897812210626/original/22abec8c-52ff-467b-9e8e-b4ca3efd0857.jpeg" TargetMode="External"/><Relationship Id="rId433" Type="http://schemas.openxmlformats.org/officeDocument/2006/relationships/hyperlink" Target="https://a0.muscache.com/im/pictures/prohost-api/Hosting-978342531011472342/original/0071d7e1-691d-4b82-a3d9-f37424f2a593.jpeg" TargetMode="External"/><Relationship Id="rId311" Type="http://schemas.openxmlformats.org/officeDocument/2006/relationships/hyperlink" Target="https://www.airbnb.com/rooms/612438897812210626" TargetMode="External"/><Relationship Id="rId432" Type="http://schemas.openxmlformats.org/officeDocument/2006/relationships/hyperlink" Target="https://www.airbnb.com/rooms/978342531011472342" TargetMode="External"/><Relationship Id="rId310" Type="http://schemas.openxmlformats.org/officeDocument/2006/relationships/hyperlink" Target="https://a0.muscache.com/im/pictures/ae5e7ae7-83b2-4553-97b2-22f78c9d83d4.jpg?aki_policy=x_large" TargetMode="External"/><Relationship Id="rId431" Type="http://schemas.openxmlformats.org/officeDocument/2006/relationships/hyperlink" Target="https://a0.muscache.com/im/pictures/miso/Hosting-662905559832189345/original/d65fd3ce-ce4d-4de5-a364-fe0e30fef791.jpeg" TargetMode="External"/><Relationship Id="rId430" Type="http://schemas.openxmlformats.org/officeDocument/2006/relationships/hyperlink" Target="https://www.airbnb.com/rooms/66290555983218934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</row>
    <row r="2">
      <c r="A2" s="1" t="s">
        <v>50</v>
      </c>
      <c r="B2" s="1">
        <v>4.51829889E8</v>
      </c>
      <c r="D2" s="1">
        <v>791720.0</v>
      </c>
      <c r="E2" s="1">
        <v>928622.0</v>
      </c>
      <c r="F2" s="1">
        <v>4887.16</v>
      </c>
      <c r="G2" s="1">
        <v>54.18</v>
      </c>
      <c r="H2" s="1">
        <v>313.0</v>
      </c>
      <c r="I2" s="1">
        <v>8.0</v>
      </c>
      <c r="J2" s="1">
        <v>9.0</v>
      </c>
      <c r="K2" s="1">
        <v>16.0</v>
      </c>
      <c r="L2" s="1" t="b">
        <v>1</v>
      </c>
      <c r="M2" s="1" t="b">
        <v>0</v>
      </c>
      <c r="N2" s="1" t="b">
        <v>1</v>
      </c>
      <c r="O2" s="1" t="b">
        <v>1</v>
      </c>
      <c r="P2" s="1" t="b">
        <v>1</v>
      </c>
      <c r="Q2" s="1" t="b">
        <v>1</v>
      </c>
      <c r="R2" s="1" t="b">
        <v>0</v>
      </c>
      <c r="S2" s="1" t="s">
        <v>51</v>
      </c>
      <c r="T2" s="1" t="s">
        <v>52</v>
      </c>
      <c r="U2" s="1" t="s">
        <v>53</v>
      </c>
      <c r="V2" s="1">
        <v>5.0</v>
      </c>
      <c r="W2" s="1">
        <v>25.0</v>
      </c>
      <c r="X2" s="1">
        <v>4.0</v>
      </c>
      <c r="Y2" s="2">
        <v>46058.0</v>
      </c>
      <c r="Z2" s="1" t="s">
        <v>54</v>
      </c>
      <c r="AA2" s="1" t="b">
        <v>0</v>
      </c>
      <c r="AB2" s="1">
        <v>901.0</v>
      </c>
      <c r="AC2" s="1" t="b">
        <v>1</v>
      </c>
      <c r="AD2" s="1">
        <v>162.0</v>
      </c>
      <c r="AE2" s="1">
        <v>26.0</v>
      </c>
      <c r="AF2" s="3">
        <v>46158.0</v>
      </c>
      <c r="AG2" s="1" t="s">
        <v>55</v>
      </c>
      <c r="AH2" s="1" t="s">
        <v>56</v>
      </c>
      <c r="AI2" s="1" t="s">
        <v>57</v>
      </c>
      <c r="AJ2" s="1" t="s">
        <v>58</v>
      </c>
      <c r="AK2" s="1">
        <v>81654.0</v>
      </c>
      <c r="AL2" s="1" t="s">
        <v>59</v>
      </c>
      <c r="AM2" s="1" t="s">
        <v>60</v>
      </c>
      <c r="AN2" s="4" t="s">
        <v>61</v>
      </c>
      <c r="AO2" s="4" t="s">
        <v>62</v>
      </c>
      <c r="AP2" s="1" t="s">
        <v>63</v>
      </c>
      <c r="AQ2" s="1">
        <v>3067545.0</v>
      </c>
      <c r="AR2" s="1">
        <v>39.30948</v>
      </c>
      <c r="AS2" s="1">
        <v>-106.97761</v>
      </c>
      <c r="AT2" s="5">
        <f t="shared" ref="AT2:AT239" si="1">AVERAGE($G$2:$G$239)</f>
        <v>41.81394958</v>
      </c>
      <c r="AU2" s="5">
        <f t="shared" ref="AU2:AU239" si="2">AVERAGE($D$2:$D$239)</f>
        <v>44185.20588</v>
      </c>
      <c r="AV2" s="5">
        <f t="shared" ref="AV2:AV239" si="3">IFERROR(($AT2-G2)/$AT2,0)</f>
        <v>-0.2957398319</v>
      </c>
      <c r="AW2" s="5">
        <f t="shared" ref="AW2:AW239" si="4">IFERROR(($AU2-D2)/$AU2,0)</f>
        <v>-16.91821457</v>
      </c>
      <c r="AX2" s="5">
        <f t="shared" ref="AX2:AX239" si="5">$AU2-D2</f>
        <v>-747534.7941</v>
      </c>
    </row>
    <row r="3">
      <c r="A3" s="1" t="s">
        <v>64</v>
      </c>
      <c r="B3" s="1">
        <v>449262.0</v>
      </c>
      <c r="D3" s="1">
        <v>194333.0</v>
      </c>
      <c r="E3" s="1">
        <v>196685.0</v>
      </c>
      <c r="F3" s="1">
        <v>1542.33</v>
      </c>
      <c r="G3" s="1">
        <v>43.6</v>
      </c>
      <c r="H3" s="1">
        <v>363.0</v>
      </c>
      <c r="I3" s="1">
        <v>5.0</v>
      </c>
      <c r="J3" s="1">
        <v>4.0</v>
      </c>
      <c r="K3" s="1">
        <v>10.0</v>
      </c>
      <c r="L3" s="1" t="b">
        <v>1</v>
      </c>
      <c r="M3" s="1" t="b">
        <v>1</v>
      </c>
      <c r="N3" s="1" t="b">
        <v>1</v>
      </c>
      <c r="O3" s="1" t="b">
        <v>1</v>
      </c>
      <c r="P3" s="1" t="b">
        <v>1</v>
      </c>
      <c r="Q3" s="1" t="b">
        <v>0</v>
      </c>
      <c r="R3" s="1" t="b">
        <v>0</v>
      </c>
      <c r="S3" s="1" t="s">
        <v>51</v>
      </c>
      <c r="T3" s="1" t="s">
        <v>65</v>
      </c>
      <c r="U3" s="1" t="s">
        <v>53</v>
      </c>
      <c r="V3" s="1">
        <v>5.0</v>
      </c>
      <c r="W3" s="1">
        <v>11.0</v>
      </c>
      <c r="X3" s="1">
        <v>4.0</v>
      </c>
      <c r="Y3" s="2">
        <v>46058.0</v>
      </c>
      <c r="Z3" s="1" t="s">
        <v>54</v>
      </c>
      <c r="AA3" s="1" t="b">
        <v>0</v>
      </c>
      <c r="AB3" s="1">
        <v>750.0</v>
      </c>
      <c r="AC3" s="1" t="b">
        <v>0</v>
      </c>
      <c r="AD3" s="1">
        <v>126.0</v>
      </c>
      <c r="AE3" s="1">
        <v>15.0</v>
      </c>
      <c r="AF3" s="3">
        <v>46159.0</v>
      </c>
      <c r="AG3" s="1" t="s">
        <v>55</v>
      </c>
      <c r="AH3" s="1" t="s">
        <v>56</v>
      </c>
      <c r="AI3" s="1" t="s">
        <v>57</v>
      </c>
      <c r="AJ3" s="1" t="s">
        <v>58</v>
      </c>
      <c r="AK3" s="1">
        <v>81654.0</v>
      </c>
      <c r="AL3" s="1" t="s">
        <v>59</v>
      </c>
      <c r="AM3" s="1" t="s">
        <v>60</v>
      </c>
      <c r="AN3" s="4" t="s">
        <v>66</v>
      </c>
      <c r="AO3" s="4" t="s">
        <v>67</v>
      </c>
      <c r="AP3" s="1" t="s">
        <v>68</v>
      </c>
      <c r="AQ3" s="1">
        <v>3832282.0</v>
      </c>
      <c r="AR3" s="1">
        <v>39.3203</v>
      </c>
      <c r="AS3" s="1">
        <v>-106.9813</v>
      </c>
      <c r="AT3" s="5">
        <f t="shared" si="1"/>
        <v>41.81394958</v>
      </c>
      <c r="AU3" s="5">
        <f t="shared" si="2"/>
        <v>44185.20588</v>
      </c>
      <c r="AV3" s="5">
        <f t="shared" si="3"/>
        <v>-0.04271422427</v>
      </c>
      <c r="AW3" s="5">
        <f t="shared" si="4"/>
        <v>-3.398146305</v>
      </c>
      <c r="AX3" s="5">
        <f t="shared" si="5"/>
        <v>-150147.7941</v>
      </c>
    </row>
    <row r="4">
      <c r="A4" s="1" t="s">
        <v>69</v>
      </c>
      <c r="B4" s="1" t="s">
        <v>70</v>
      </c>
      <c r="D4" s="1">
        <v>189072.0</v>
      </c>
      <c r="E4" s="1">
        <v>189072.0</v>
      </c>
      <c r="F4" s="1">
        <v>1616.0</v>
      </c>
      <c r="G4" s="1">
        <v>81.25</v>
      </c>
      <c r="H4" s="1">
        <v>319.0</v>
      </c>
      <c r="I4" s="1">
        <v>5.0</v>
      </c>
      <c r="J4" s="1">
        <v>6.0</v>
      </c>
      <c r="K4" s="1">
        <v>14.0</v>
      </c>
      <c r="L4" s="1" t="b">
        <v>1</v>
      </c>
      <c r="M4" s="1" t="b">
        <v>0</v>
      </c>
      <c r="N4" s="1" t="b">
        <v>1</v>
      </c>
      <c r="O4" s="1" t="b">
        <v>1</v>
      </c>
      <c r="P4" s="1" t="b">
        <v>1</v>
      </c>
      <c r="Q4" s="1" t="b">
        <v>0</v>
      </c>
      <c r="R4" s="1" t="b">
        <v>1</v>
      </c>
      <c r="S4" s="1" t="s">
        <v>51</v>
      </c>
      <c r="T4" s="1" t="s">
        <v>65</v>
      </c>
      <c r="U4" s="1" t="s">
        <v>53</v>
      </c>
      <c r="V4" s="1">
        <v>0.0</v>
      </c>
      <c r="W4" s="1">
        <v>0.0</v>
      </c>
      <c r="X4" s="1">
        <v>30.0</v>
      </c>
      <c r="Y4" s="1" t="s">
        <v>71</v>
      </c>
      <c r="Z4" s="1" t="s">
        <v>54</v>
      </c>
      <c r="AA4" s="1" t="b">
        <v>0</v>
      </c>
      <c r="AB4" s="1">
        <v>895.0</v>
      </c>
      <c r="AC4" s="1" t="b">
        <v>0</v>
      </c>
      <c r="AD4" s="1">
        <v>117.0</v>
      </c>
      <c r="AE4" s="1">
        <v>1.0</v>
      </c>
      <c r="AF4" s="3">
        <v>46058.0</v>
      </c>
      <c r="AG4" s="1" t="s">
        <v>55</v>
      </c>
      <c r="AH4" s="1" t="s">
        <v>56</v>
      </c>
      <c r="AI4" s="1" t="s">
        <v>72</v>
      </c>
      <c r="AJ4" s="1" t="s">
        <v>58</v>
      </c>
      <c r="AK4" s="1">
        <v>81621.0</v>
      </c>
      <c r="AL4" s="1" t="s">
        <v>59</v>
      </c>
      <c r="AM4" s="1" t="s">
        <v>60</v>
      </c>
      <c r="AN4" s="4" t="s">
        <v>73</v>
      </c>
      <c r="AO4" s="4" t="s">
        <v>74</v>
      </c>
      <c r="AP4" s="1" t="s">
        <v>75</v>
      </c>
      <c r="AQ4" s="1">
        <v>4274338.0</v>
      </c>
      <c r="AR4" s="1">
        <v>39.3531</v>
      </c>
      <c r="AS4" s="1">
        <v>-107.011</v>
      </c>
      <c r="AT4" s="5">
        <f t="shared" si="1"/>
        <v>41.81394958</v>
      </c>
      <c r="AU4" s="5">
        <f t="shared" si="2"/>
        <v>44185.20588</v>
      </c>
      <c r="AV4" s="5">
        <f t="shared" si="3"/>
        <v>-0.9431314386</v>
      </c>
      <c r="AW4" s="5">
        <f t="shared" si="4"/>
        <v>-3.279079303</v>
      </c>
      <c r="AX4" s="5">
        <f t="shared" si="5"/>
        <v>-144886.7941</v>
      </c>
    </row>
    <row r="5">
      <c r="A5" s="1" t="s">
        <v>76</v>
      </c>
      <c r="B5" s="1">
        <v>5.2776855E7</v>
      </c>
      <c r="D5" s="1">
        <v>188717.0</v>
      </c>
      <c r="E5" s="1">
        <v>214735.0</v>
      </c>
      <c r="F5" s="1">
        <v>1377.5</v>
      </c>
      <c r="G5" s="1">
        <v>62.84</v>
      </c>
      <c r="H5" s="1">
        <v>292.0</v>
      </c>
      <c r="I5" s="1">
        <v>5.0</v>
      </c>
      <c r="J5" s="1">
        <v>6.0</v>
      </c>
      <c r="K5" s="1">
        <v>12.0</v>
      </c>
      <c r="L5" s="1" t="b">
        <v>1</v>
      </c>
      <c r="M5" s="1" t="b">
        <v>1</v>
      </c>
      <c r="N5" s="1" t="b">
        <v>0</v>
      </c>
      <c r="O5" s="1" t="b">
        <v>1</v>
      </c>
      <c r="P5" s="1" t="b">
        <v>1</v>
      </c>
      <c r="Q5" s="1" t="b">
        <v>1</v>
      </c>
      <c r="R5" s="1" t="b">
        <v>1</v>
      </c>
      <c r="S5" s="1" t="s">
        <v>51</v>
      </c>
      <c r="T5" s="1" t="s">
        <v>65</v>
      </c>
      <c r="U5" s="1" t="s">
        <v>53</v>
      </c>
      <c r="V5" s="1">
        <v>5.0</v>
      </c>
      <c r="W5" s="1">
        <v>43.0</v>
      </c>
      <c r="X5" s="1">
        <v>7.0</v>
      </c>
      <c r="Y5" s="2">
        <v>46058.0</v>
      </c>
      <c r="Z5" s="1" t="s">
        <v>54</v>
      </c>
      <c r="AA5" s="1" t="b">
        <v>0</v>
      </c>
      <c r="AB5" s="1">
        <v>801.0</v>
      </c>
      <c r="AC5" s="1" t="b">
        <v>0</v>
      </c>
      <c r="AD5" s="1">
        <v>137.0</v>
      </c>
      <c r="AE5" s="1">
        <v>11.0</v>
      </c>
      <c r="AF5" s="3">
        <v>46155.0</v>
      </c>
      <c r="AG5" s="1" t="s">
        <v>55</v>
      </c>
      <c r="AH5" s="1" t="s">
        <v>56</v>
      </c>
      <c r="AI5" s="1" t="s">
        <v>56</v>
      </c>
      <c r="AJ5" s="1" t="s">
        <v>58</v>
      </c>
      <c r="AK5" s="1">
        <v>81623.0</v>
      </c>
      <c r="AL5" s="1" t="s">
        <v>59</v>
      </c>
      <c r="AM5" s="1" t="s">
        <v>60</v>
      </c>
      <c r="AN5" s="4" t="s">
        <v>77</v>
      </c>
      <c r="AO5" s="4" t="s">
        <v>78</v>
      </c>
      <c r="AP5" s="1">
        <v>4.3325852E7</v>
      </c>
      <c r="AQ5" s="1">
        <v>1976718.0</v>
      </c>
      <c r="AR5" s="1">
        <v>39.43272</v>
      </c>
      <c r="AS5" s="1">
        <v>-107.17041</v>
      </c>
      <c r="AT5" s="5">
        <f t="shared" si="1"/>
        <v>41.81394958</v>
      </c>
      <c r="AU5" s="5">
        <f t="shared" si="2"/>
        <v>44185.20588</v>
      </c>
      <c r="AV5" s="5">
        <f t="shared" si="3"/>
        <v>-0.5028477489</v>
      </c>
      <c r="AW5" s="5">
        <f t="shared" si="4"/>
        <v>-3.27104494</v>
      </c>
      <c r="AX5" s="5">
        <f t="shared" si="5"/>
        <v>-144531.7941</v>
      </c>
    </row>
    <row r="6">
      <c r="A6" s="1" t="s">
        <v>79</v>
      </c>
      <c r="B6" s="1" t="s">
        <v>80</v>
      </c>
      <c r="D6" s="1">
        <v>182928.0</v>
      </c>
      <c r="E6" s="1">
        <v>239486.0</v>
      </c>
      <c r="F6" s="1">
        <v>1576.97</v>
      </c>
      <c r="G6" s="1">
        <v>63.04</v>
      </c>
      <c r="H6" s="1">
        <v>263.0</v>
      </c>
      <c r="I6" s="1">
        <v>5.0</v>
      </c>
      <c r="J6" s="1">
        <v>5.0</v>
      </c>
      <c r="K6" s="1">
        <v>13.0</v>
      </c>
      <c r="L6" s="1" t="b">
        <v>1</v>
      </c>
      <c r="M6" s="1" t="b">
        <v>0</v>
      </c>
      <c r="N6" s="1" t="b">
        <v>0</v>
      </c>
      <c r="O6" s="1" t="b">
        <v>1</v>
      </c>
      <c r="P6" s="1" t="b">
        <v>0</v>
      </c>
      <c r="Q6" s="1" t="b">
        <v>0</v>
      </c>
      <c r="R6" s="1" t="b">
        <v>0</v>
      </c>
      <c r="S6" s="1" t="s">
        <v>51</v>
      </c>
      <c r="T6" s="1" t="s">
        <v>52</v>
      </c>
      <c r="U6" s="1" t="s">
        <v>53</v>
      </c>
      <c r="V6" s="1">
        <v>4.7</v>
      </c>
      <c r="W6" s="1">
        <v>13.0</v>
      </c>
      <c r="X6" s="1">
        <v>3.0</v>
      </c>
      <c r="Y6" s="1" t="s">
        <v>71</v>
      </c>
      <c r="Z6" s="1" t="s">
        <v>54</v>
      </c>
      <c r="AA6" s="1" t="b">
        <v>0</v>
      </c>
      <c r="AB6" s="1">
        <v>494.0</v>
      </c>
      <c r="AC6" s="1" t="b">
        <v>1</v>
      </c>
      <c r="AD6" s="1">
        <v>116.0</v>
      </c>
      <c r="AE6" s="1">
        <v>29.0</v>
      </c>
      <c r="AF6" s="3">
        <v>46153.0</v>
      </c>
      <c r="AG6" s="1" t="s">
        <v>55</v>
      </c>
      <c r="AH6" s="1" t="s">
        <v>56</v>
      </c>
      <c r="AI6" s="1" t="s">
        <v>57</v>
      </c>
      <c r="AJ6" s="1" t="s">
        <v>58</v>
      </c>
      <c r="AK6" s="1">
        <v>81654.0</v>
      </c>
      <c r="AL6" s="1" t="s">
        <v>59</v>
      </c>
      <c r="AM6" s="1" t="s">
        <v>60</v>
      </c>
      <c r="AN6" s="4" t="s">
        <v>81</v>
      </c>
      <c r="AO6" s="4" t="s">
        <v>82</v>
      </c>
      <c r="AP6" s="1" t="s">
        <v>83</v>
      </c>
      <c r="AQ6" s="1">
        <v>3802684.0</v>
      </c>
      <c r="AR6" s="1">
        <v>39.33257</v>
      </c>
      <c r="AS6" s="1">
        <v>-106.98817</v>
      </c>
      <c r="AT6" s="5">
        <f t="shared" si="1"/>
        <v>41.81394958</v>
      </c>
      <c r="AU6" s="5">
        <f t="shared" si="2"/>
        <v>44185.20588</v>
      </c>
      <c r="AV6" s="5">
        <f t="shared" si="3"/>
        <v>-0.5076308417</v>
      </c>
      <c r="AW6" s="5">
        <f t="shared" si="4"/>
        <v>-3.140028237</v>
      </c>
      <c r="AX6" s="5">
        <f t="shared" si="5"/>
        <v>-138742.7941</v>
      </c>
    </row>
    <row r="7">
      <c r="A7" s="1" t="s">
        <v>84</v>
      </c>
      <c r="B7" s="1">
        <v>5.05199904E8</v>
      </c>
      <c r="D7" s="1">
        <v>180561.0</v>
      </c>
      <c r="E7" s="1">
        <v>183306.0</v>
      </c>
      <c r="F7" s="1">
        <v>2285.58</v>
      </c>
      <c r="G7" s="1">
        <v>29.26</v>
      </c>
      <c r="H7" s="1">
        <v>321.0</v>
      </c>
      <c r="I7" s="1">
        <v>5.0</v>
      </c>
      <c r="J7" s="1">
        <v>3.0</v>
      </c>
      <c r="K7" s="1">
        <v>12.0</v>
      </c>
      <c r="L7" s="1" t="b">
        <v>1</v>
      </c>
      <c r="M7" s="1" t="b">
        <v>0</v>
      </c>
      <c r="N7" s="1" t="b">
        <v>0</v>
      </c>
      <c r="O7" s="1" t="b">
        <v>1</v>
      </c>
      <c r="P7" s="1" t="b">
        <v>1</v>
      </c>
      <c r="Q7" s="1" t="b">
        <v>0</v>
      </c>
      <c r="R7" s="1" t="b">
        <v>0</v>
      </c>
      <c r="S7" s="1" t="s">
        <v>51</v>
      </c>
      <c r="T7" s="1" t="s">
        <v>65</v>
      </c>
      <c r="U7" s="1" t="s">
        <v>53</v>
      </c>
      <c r="V7" s="1">
        <v>5.0</v>
      </c>
      <c r="W7" s="1">
        <v>14.0</v>
      </c>
      <c r="X7" s="1">
        <v>3.0</v>
      </c>
      <c r="Y7" s="2">
        <v>46058.0</v>
      </c>
      <c r="Z7" s="1" t="s">
        <v>54</v>
      </c>
      <c r="AA7" s="1" t="b">
        <v>1</v>
      </c>
      <c r="AB7" s="1">
        <v>900.0</v>
      </c>
      <c r="AC7" s="1" t="b">
        <v>0</v>
      </c>
      <c r="AD7" s="1">
        <v>79.0</v>
      </c>
      <c r="AE7" s="1">
        <v>17.0</v>
      </c>
      <c r="AF7" s="3">
        <v>46159.0</v>
      </c>
      <c r="AG7" s="1" t="s">
        <v>55</v>
      </c>
      <c r="AH7" s="1" t="s">
        <v>56</v>
      </c>
      <c r="AI7" s="1" t="s">
        <v>56</v>
      </c>
      <c r="AJ7" s="1" t="s">
        <v>58</v>
      </c>
      <c r="AK7" s="1">
        <v>81623.0</v>
      </c>
      <c r="AL7" s="1" t="s">
        <v>59</v>
      </c>
      <c r="AM7" s="1" t="s">
        <v>60</v>
      </c>
      <c r="AN7" s="4" t="s">
        <v>85</v>
      </c>
      <c r="AO7" s="4" t="s">
        <v>86</v>
      </c>
      <c r="AP7" s="1" t="s">
        <v>87</v>
      </c>
      <c r="AQ7" s="1">
        <v>3521079.0</v>
      </c>
      <c r="AR7" s="1">
        <v>39.45503</v>
      </c>
      <c r="AS7" s="1">
        <v>-107.20044</v>
      </c>
      <c r="AT7" s="5">
        <f t="shared" si="1"/>
        <v>41.81394958</v>
      </c>
      <c r="AU7" s="5">
        <f t="shared" si="2"/>
        <v>44185.20588</v>
      </c>
      <c r="AV7" s="5">
        <f t="shared" si="3"/>
        <v>0.3002335275</v>
      </c>
      <c r="AW7" s="5">
        <f t="shared" si="4"/>
        <v>-3.08645827</v>
      </c>
      <c r="AX7" s="5">
        <f t="shared" si="5"/>
        <v>-136375.7941</v>
      </c>
    </row>
    <row r="8">
      <c r="A8" s="1" t="s">
        <v>88</v>
      </c>
      <c r="B8" s="1">
        <v>1.66849848E8</v>
      </c>
      <c r="D8" s="1">
        <v>145861.0</v>
      </c>
      <c r="E8" s="1">
        <v>210050.0</v>
      </c>
      <c r="F8" s="1">
        <v>1389.15</v>
      </c>
      <c r="G8" s="1">
        <v>43.03</v>
      </c>
      <c r="H8" s="1">
        <v>282.0</v>
      </c>
      <c r="I8" s="1">
        <v>5.0</v>
      </c>
      <c r="J8" s="1">
        <v>4.0</v>
      </c>
      <c r="K8" s="1">
        <v>14.0</v>
      </c>
      <c r="L8" s="1" t="b">
        <v>0</v>
      </c>
      <c r="M8" s="1" t="b">
        <v>0</v>
      </c>
      <c r="N8" s="1" t="b">
        <v>1</v>
      </c>
      <c r="O8" s="1" t="b">
        <v>1</v>
      </c>
      <c r="P8" s="1" t="b">
        <v>1</v>
      </c>
      <c r="Q8" s="1" t="b">
        <v>0</v>
      </c>
      <c r="R8" s="1" t="b">
        <v>0</v>
      </c>
      <c r="S8" s="1" t="s">
        <v>51</v>
      </c>
      <c r="T8" s="1" t="s">
        <v>65</v>
      </c>
      <c r="U8" s="1" t="s">
        <v>53</v>
      </c>
      <c r="V8" s="1">
        <v>4.75</v>
      </c>
      <c r="W8" s="1">
        <v>57.0</v>
      </c>
      <c r="X8" s="1">
        <v>2.0</v>
      </c>
      <c r="Y8" s="2">
        <v>46058.0</v>
      </c>
      <c r="Z8" s="1" t="s">
        <v>54</v>
      </c>
      <c r="AA8" s="1" t="b">
        <v>1</v>
      </c>
      <c r="AB8" s="1">
        <v>200.0</v>
      </c>
      <c r="AC8" s="1" t="b">
        <v>0</v>
      </c>
      <c r="AD8" s="1">
        <v>105.0</v>
      </c>
      <c r="AE8" s="1">
        <v>19.0</v>
      </c>
      <c r="AF8" s="3">
        <v>46158.0</v>
      </c>
      <c r="AG8" s="1" t="s">
        <v>55</v>
      </c>
      <c r="AH8" s="1" t="s">
        <v>56</v>
      </c>
      <c r="AI8" s="1" t="s">
        <v>56</v>
      </c>
      <c r="AJ8" s="1" t="s">
        <v>58</v>
      </c>
      <c r="AK8" s="1">
        <v>81623.0</v>
      </c>
      <c r="AL8" s="1" t="s">
        <v>59</v>
      </c>
      <c r="AM8" s="1" t="s">
        <v>60</v>
      </c>
      <c r="AN8" s="4" t="s">
        <v>89</v>
      </c>
      <c r="AO8" s="4" t="s">
        <v>90</v>
      </c>
      <c r="AP8" s="1">
        <v>4.0309364E7</v>
      </c>
      <c r="AR8" s="1">
        <v>39.0714</v>
      </c>
      <c r="AS8" s="1">
        <v>-107.177</v>
      </c>
      <c r="AT8" s="5">
        <f t="shared" si="1"/>
        <v>41.81394958</v>
      </c>
      <c r="AU8" s="5">
        <f t="shared" si="2"/>
        <v>44185.20588</v>
      </c>
      <c r="AV8" s="5">
        <f t="shared" si="3"/>
        <v>-0.02908240987</v>
      </c>
      <c r="AW8" s="5">
        <f t="shared" si="4"/>
        <v>-2.30112754</v>
      </c>
      <c r="AX8" s="5">
        <f t="shared" si="5"/>
        <v>-101675.7941</v>
      </c>
    </row>
    <row r="9">
      <c r="A9" s="1" t="s">
        <v>91</v>
      </c>
      <c r="D9" s="1">
        <v>141120.0</v>
      </c>
      <c r="E9" s="1">
        <v>156367.0</v>
      </c>
      <c r="F9" s="1">
        <v>2106.27</v>
      </c>
      <c r="G9" s="1">
        <v>36.02</v>
      </c>
      <c r="H9" s="1">
        <v>312.0</v>
      </c>
      <c r="I9" s="1">
        <v>5.0</v>
      </c>
      <c r="J9" s="1">
        <v>5.0</v>
      </c>
      <c r="K9" s="1">
        <v>10.0</v>
      </c>
      <c r="L9" s="1" t="b">
        <v>1</v>
      </c>
      <c r="M9" s="1" t="b">
        <v>1</v>
      </c>
      <c r="N9" s="1" t="b">
        <v>1</v>
      </c>
      <c r="O9" s="1" t="b">
        <v>1</v>
      </c>
      <c r="P9" s="1" t="b">
        <v>1</v>
      </c>
      <c r="Q9" s="1" t="b">
        <v>0</v>
      </c>
      <c r="R9" s="1" t="b">
        <v>0</v>
      </c>
      <c r="S9" s="1" t="s">
        <v>51</v>
      </c>
      <c r="T9" s="1" t="s">
        <v>65</v>
      </c>
      <c r="U9" s="1" t="s">
        <v>53</v>
      </c>
      <c r="V9" s="1">
        <v>4.8</v>
      </c>
      <c r="W9" s="1">
        <v>10.0</v>
      </c>
      <c r="X9" s="1">
        <v>4.0</v>
      </c>
      <c r="Y9" s="1">
        <v>1.0</v>
      </c>
      <c r="Z9" s="1" t="s">
        <v>54</v>
      </c>
      <c r="AA9" s="1" t="b">
        <v>0</v>
      </c>
      <c r="AB9" s="1">
        <v>1000.0</v>
      </c>
      <c r="AC9" s="1" t="b">
        <v>0</v>
      </c>
      <c r="AD9" s="1">
        <v>67.0</v>
      </c>
      <c r="AE9" s="1">
        <v>11.0</v>
      </c>
      <c r="AF9" s="3">
        <v>46156.0</v>
      </c>
      <c r="AG9" s="1" t="s">
        <v>55</v>
      </c>
      <c r="AH9" s="1" t="s">
        <v>56</v>
      </c>
      <c r="AI9" s="1" t="s">
        <v>57</v>
      </c>
      <c r="AJ9" s="1" t="s">
        <v>58</v>
      </c>
      <c r="AK9" s="1">
        <v>81654.0</v>
      </c>
      <c r="AL9" s="1" t="s">
        <v>59</v>
      </c>
      <c r="AM9" s="1" t="s">
        <v>60</v>
      </c>
      <c r="AN9" s="4" t="s">
        <v>92</v>
      </c>
      <c r="AO9" s="4" t="s">
        <v>93</v>
      </c>
      <c r="AQ9" s="1">
        <v>3693292.0</v>
      </c>
      <c r="AR9" s="1">
        <v>39.255747</v>
      </c>
      <c r="AS9" s="1">
        <v>-106.97859</v>
      </c>
      <c r="AT9" s="5">
        <f t="shared" si="1"/>
        <v>41.81394958</v>
      </c>
      <c r="AU9" s="5">
        <f t="shared" si="2"/>
        <v>44185.20588</v>
      </c>
      <c r="AV9" s="5">
        <f t="shared" si="3"/>
        <v>0.1385649918</v>
      </c>
      <c r="AW9" s="5">
        <f t="shared" si="4"/>
        <v>-2.193829183</v>
      </c>
      <c r="AX9" s="5">
        <f t="shared" si="5"/>
        <v>-96934.79412</v>
      </c>
    </row>
    <row r="10">
      <c r="A10" s="1" t="s">
        <v>94</v>
      </c>
      <c r="B10" s="1">
        <v>2338855.0</v>
      </c>
      <c r="D10" s="1">
        <v>130161.0</v>
      </c>
      <c r="E10" s="1">
        <v>138768.0</v>
      </c>
      <c r="F10" s="1">
        <v>544.61</v>
      </c>
      <c r="G10" s="1">
        <v>70.09</v>
      </c>
      <c r="H10" s="1">
        <v>341.0</v>
      </c>
      <c r="I10" s="1">
        <v>2.0</v>
      </c>
      <c r="J10" s="1">
        <v>2.0</v>
      </c>
      <c r="K10" s="1">
        <v>4.0</v>
      </c>
      <c r="L10" s="1" t="b">
        <v>1</v>
      </c>
      <c r="M10" s="1" t="b">
        <v>0</v>
      </c>
      <c r="N10" s="1" t="b">
        <v>1</v>
      </c>
      <c r="O10" s="1" t="b">
        <v>1</v>
      </c>
      <c r="P10" s="1" t="b">
        <v>1</v>
      </c>
      <c r="Q10" s="1" t="b">
        <v>1</v>
      </c>
      <c r="R10" s="1" t="b">
        <v>0</v>
      </c>
      <c r="S10" s="1" t="s">
        <v>51</v>
      </c>
      <c r="T10" s="1" t="s">
        <v>65</v>
      </c>
      <c r="U10" s="1" t="s">
        <v>53</v>
      </c>
      <c r="V10" s="1">
        <v>4.95</v>
      </c>
      <c r="W10" s="1">
        <v>194.0</v>
      </c>
      <c r="X10" s="1">
        <v>3.0</v>
      </c>
      <c r="Y10" s="2">
        <v>46058.0</v>
      </c>
      <c r="Z10" s="1" t="s">
        <v>54</v>
      </c>
      <c r="AA10" s="1" t="b">
        <v>1</v>
      </c>
      <c r="AB10" s="1">
        <v>179.0</v>
      </c>
      <c r="AC10" s="1" t="b">
        <v>1</v>
      </c>
      <c r="AD10" s="1">
        <v>239.0</v>
      </c>
      <c r="AE10" s="1">
        <v>70.0</v>
      </c>
      <c r="AF10" s="3">
        <v>46159.0</v>
      </c>
      <c r="AG10" s="1" t="s">
        <v>55</v>
      </c>
      <c r="AH10" s="1" t="s">
        <v>56</v>
      </c>
      <c r="AI10" s="1" t="s">
        <v>56</v>
      </c>
      <c r="AJ10" s="1" t="s">
        <v>58</v>
      </c>
      <c r="AK10" s="1">
        <v>81623.0</v>
      </c>
      <c r="AL10" s="1" t="s">
        <v>59</v>
      </c>
      <c r="AM10" s="1" t="s">
        <v>60</v>
      </c>
      <c r="AN10" s="4" t="s">
        <v>95</v>
      </c>
      <c r="AO10" s="4" t="s">
        <v>96</v>
      </c>
      <c r="AP10" s="1">
        <v>5.0070903E7</v>
      </c>
      <c r="AQ10" s="1">
        <v>4465936.0</v>
      </c>
      <c r="AR10" s="1">
        <v>39.42623</v>
      </c>
      <c r="AS10" s="1">
        <v>-107.1258</v>
      </c>
      <c r="AT10" s="5">
        <f t="shared" si="1"/>
        <v>41.81394958</v>
      </c>
      <c r="AU10" s="5">
        <f t="shared" si="2"/>
        <v>44185.20588</v>
      </c>
      <c r="AV10" s="5">
        <f t="shared" si="3"/>
        <v>-0.6762348619</v>
      </c>
      <c r="AW10" s="5">
        <f t="shared" si="4"/>
        <v>-1.945804991</v>
      </c>
      <c r="AX10" s="5">
        <f t="shared" si="5"/>
        <v>-85975.79412</v>
      </c>
    </row>
    <row r="11">
      <c r="A11" s="1" t="s">
        <v>97</v>
      </c>
      <c r="B11" s="1" t="s">
        <v>98</v>
      </c>
      <c r="D11" s="1">
        <v>127038.0</v>
      </c>
      <c r="E11" s="1">
        <v>141705.0</v>
      </c>
      <c r="F11" s="1">
        <v>460.28</v>
      </c>
      <c r="G11" s="1">
        <v>84.4</v>
      </c>
      <c r="H11" s="1">
        <v>327.0</v>
      </c>
      <c r="I11" s="1">
        <v>2.0</v>
      </c>
      <c r="J11" s="1">
        <v>2.0</v>
      </c>
      <c r="K11" s="1">
        <v>4.0</v>
      </c>
      <c r="L11" s="1" t="b">
        <v>1</v>
      </c>
      <c r="M11" s="1" t="b">
        <v>0</v>
      </c>
      <c r="N11" s="1" t="b">
        <v>1</v>
      </c>
      <c r="O11" s="1" t="b">
        <v>1</v>
      </c>
      <c r="P11" s="1" t="b">
        <v>1</v>
      </c>
      <c r="Q11" s="1" t="b">
        <v>0</v>
      </c>
      <c r="R11" s="1" t="b">
        <v>0</v>
      </c>
      <c r="S11" s="1" t="s">
        <v>51</v>
      </c>
      <c r="T11" s="1" t="s">
        <v>65</v>
      </c>
      <c r="U11" s="1" t="s">
        <v>53</v>
      </c>
      <c r="V11" s="1">
        <v>4.95</v>
      </c>
      <c r="W11" s="1">
        <v>293.0</v>
      </c>
      <c r="X11" s="1">
        <v>4.0</v>
      </c>
      <c r="Y11" s="1" t="s">
        <v>71</v>
      </c>
      <c r="Z11" s="1" t="s">
        <v>54</v>
      </c>
      <c r="AA11" s="1" t="b">
        <v>1</v>
      </c>
      <c r="AB11" s="1">
        <v>258.0</v>
      </c>
      <c r="AC11" s="1" t="b">
        <v>0</v>
      </c>
      <c r="AD11" s="1">
        <v>276.0</v>
      </c>
      <c r="AE11" s="1">
        <v>75.0</v>
      </c>
      <c r="AF11" s="3">
        <v>46159.0</v>
      </c>
      <c r="AG11" s="1" t="s">
        <v>55</v>
      </c>
      <c r="AH11" s="1" t="s">
        <v>56</v>
      </c>
      <c r="AI11" s="1" t="s">
        <v>56</v>
      </c>
      <c r="AJ11" s="1" t="s">
        <v>58</v>
      </c>
      <c r="AK11" s="1">
        <v>81623.0</v>
      </c>
      <c r="AL11" s="1" t="s">
        <v>59</v>
      </c>
      <c r="AM11" s="1" t="s">
        <v>60</v>
      </c>
      <c r="AN11" s="4" t="s">
        <v>99</v>
      </c>
      <c r="AO11" s="4" t="s">
        <v>100</v>
      </c>
      <c r="AP11" s="1">
        <v>4.5453217E7</v>
      </c>
      <c r="AQ11" s="1">
        <v>2067959.0</v>
      </c>
      <c r="AR11" s="1">
        <v>39.42133</v>
      </c>
      <c r="AS11" s="1">
        <v>-107.12063</v>
      </c>
      <c r="AT11" s="5">
        <f t="shared" si="1"/>
        <v>41.81394958</v>
      </c>
      <c r="AU11" s="5">
        <f t="shared" si="2"/>
        <v>44185.20588</v>
      </c>
      <c r="AV11" s="5">
        <f t="shared" si="3"/>
        <v>-1.01846515</v>
      </c>
      <c r="AW11" s="5">
        <f t="shared" si="4"/>
        <v>-1.875125225</v>
      </c>
      <c r="AX11" s="5">
        <f t="shared" si="5"/>
        <v>-82852.79412</v>
      </c>
    </row>
    <row r="12">
      <c r="A12" s="1" t="s">
        <v>101</v>
      </c>
      <c r="D12" s="1">
        <v>123035.0</v>
      </c>
      <c r="E12" s="1">
        <v>142036.0</v>
      </c>
      <c r="F12" s="1">
        <v>1281.61</v>
      </c>
      <c r="G12" s="1">
        <v>38.4</v>
      </c>
      <c r="H12" s="1">
        <v>310.0</v>
      </c>
      <c r="I12" s="1">
        <v>4.0</v>
      </c>
      <c r="J12" s="1">
        <v>4.0</v>
      </c>
      <c r="K12" s="1">
        <v>12.0</v>
      </c>
      <c r="L12" s="1" t="b">
        <v>1</v>
      </c>
      <c r="M12" s="1" t="b">
        <v>1</v>
      </c>
      <c r="N12" s="1" t="b">
        <v>1</v>
      </c>
      <c r="O12" s="1" t="b">
        <v>1</v>
      </c>
      <c r="P12" s="1" t="b">
        <v>1</v>
      </c>
      <c r="Q12" s="1" t="b">
        <v>0</v>
      </c>
      <c r="R12" s="1" t="b">
        <v>0</v>
      </c>
      <c r="S12" s="1" t="s">
        <v>51</v>
      </c>
      <c r="T12" s="1" t="s">
        <v>65</v>
      </c>
      <c r="U12" s="1" t="s">
        <v>53</v>
      </c>
      <c r="V12" s="1">
        <v>4.9</v>
      </c>
      <c r="W12" s="1">
        <v>141.0</v>
      </c>
      <c r="X12" s="1">
        <v>3.0</v>
      </c>
      <c r="Y12" s="1">
        <v>1.0</v>
      </c>
      <c r="Z12" s="1" t="s">
        <v>54</v>
      </c>
      <c r="AA12" s="1" t="b">
        <v>0</v>
      </c>
      <c r="AB12" s="1">
        <v>500.0</v>
      </c>
      <c r="AC12" s="1" t="b">
        <v>1</v>
      </c>
      <c r="AD12" s="1">
        <v>96.0</v>
      </c>
      <c r="AE12" s="1">
        <v>24.0</v>
      </c>
      <c r="AF12" s="3">
        <v>46158.0</v>
      </c>
      <c r="AG12" s="1" t="s">
        <v>55</v>
      </c>
      <c r="AH12" s="1" t="s">
        <v>56</v>
      </c>
      <c r="AI12" s="1" t="s">
        <v>56</v>
      </c>
      <c r="AJ12" s="1" t="s">
        <v>58</v>
      </c>
      <c r="AK12" s="1">
        <v>81623.0</v>
      </c>
      <c r="AL12" s="1" t="s">
        <v>59</v>
      </c>
      <c r="AM12" s="1" t="s">
        <v>60</v>
      </c>
      <c r="AN12" s="4" t="s">
        <v>102</v>
      </c>
      <c r="AO12" s="4" t="s">
        <v>103</v>
      </c>
      <c r="AQ12" s="1">
        <v>688864.0</v>
      </c>
      <c r="AR12" s="1">
        <v>39.416714</v>
      </c>
      <c r="AS12" s="1">
        <v>-107.121634</v>
      </c>
      <c r="AT12" s="5">
        <f t="shared" si="1"/>
        <v>41.81394958</v>
      </c>
      <c r="AU12" s="5">
        <f t="shared" si="2"/>
        <v>44185.20588</v>
      </c>
      <c r="AV12" s="5">
        <f t="shared" si="3"/>
        <v>0.08164618779</v>
      </c>
      <c r="AW12" s="5">
        <f t="shared" si="4"/>
        <v>-1.784529291</v>
      </c>
      <c r="AX12" s="5">
        <f t="shared" si="5"/>
        <v>-78849.79412</v>
      </c>
    </row>
    <row r="13">
      <c r="A13" s="1" t="s">
        <v>104</v>
      </c>
      <c r="B13" s="1">
        <v>7.3594244E7</v>
      </c>
      <c r="D13" s="1">
        <v>119862.0</v>
      </c>
      <c r="E13" s="1">
        <v>128588.0</v>
      </c>
      <c r="F13" s="1">
        <v>454.02</v>
      </c>
      <c r="G13" s="1">
        <v>77.42</v>
      </c>
      <c r="H13" s="1">
        <v>341.0</v>
      </c>
      <c r="I13" s="1">
        <v>2.0</v>
      </c>
      <c r="J13" s="1">
        <v>2.0</v>
      </c>
      <c r="K13" s="1">
        <v>6.0</v>
      </c>
      <c r="L13" s="1" t="b">
        <v>1</v>
      </c>
      <c r="M13" s="1" t="b">
        <v>0</v>
      </c>
      <c r="N13" s="1" t="b">
        <v>0</v>
      </c>
      <c r="O13" s="1" t="b">
        <v>1</v>
      </c>
      <c r="P13" s="1" t="b">
        <v>1</v>
      </c>
      <c r="Q13" s="1" t="b">
        <v>0</v>
      </c>
      <c r="R13" s="1" t="b">
        <v>0</v>
      </c>
      <c r="S13" s="1" t="s">
        <v>51</v>
      </c>
      <c r="T13" s="1" t="s">
        <v>65</v>
      </c>
      <c r="U13" s="1" t="s">
        <v>53</v>
      </c>
      <c r="V13" s="1">
        <v>5.0</v>
      </c>
      <c r="W13" s="1">
        <v>162.0</v>
      </c>
      <c r="X13" s="1">
        <v>3.0</v>
      </c>
      <c r="Y13" s="1">
        <v>1.0</v>
      </c>
      <c r="Z13" s="1" t="s">
        <v>54</v>
      </c>
      <c r="AA13" s="1" t="b">
        <v>1</v>
      </c>
      <c r="AB13" s="1">
        <v>198.0</v>
      </c>
      <c r="AC13" s="1" t="b">
        <v>0</v>
      </c>
      <c r="AD13" s="1">
        <v>264.0</v>
      </c>
      <c r="AE13" s="1">
        <v>80.0</v>
      </c>
      <c r="AF13" s="3">
        <v>46159.0</v>
      </c>
      <c r="AG13" s="1" t="s">
        <v>55</v>
      </c>
      <c r="AH13" s="1" t="s">
        <v>56</v>
      </c>
      <c r="AI13" s="1" t="s">
        <v>56</v>
      </c>
      <c r="AJ13" s="1" t="s">
        <v>58</v>
      </c>
      <c r="AK13" s="1">
        <v>81623.0</v>
      </c>
      <c r="AL13" s="1" t="s">
        <v>59</v>
      </c>
      <c r="AM13" s="1" t="s">
        <v>60</v>
      </c>
      <c r="AN13" s="4" t="s">
        <v>105</v>
      </c>
      <c r="AO13" s="4" t="s">
        <v>106</v>
      </c>
      <c r="AP13" s="1" t="s">
        <v>107</v>
      </c>
      <c r="AQ13" s="1">
        <v>3407147.0</v>
      </c>
      <c r="AR13" s="1">
        <v>39.41766</v>
      </c>
      <c r="AS13" s="1">
        <v>-107.20796</v>
      </c>
      <c r="AT13" s="5">
        <f t="shared" si="1"/>
        <v>41.81394958</v>
      </c>
      <c r="AU13" s="5">
        <f t="shared" si="2"/>
        <v>44185.20588</v>
      </c>
      <c r="AV13" s="5">
        <f t="shared" si="3"/>
        <v>-0.851535212</v>
      </c>
      <c r="AW13" s="5">
        <f t="shared" si="4"/>
        <v>-1.712717925</v>
      </c>
      <c r="AX13" s="5">
        <f t="shared" si="5"/>
        <v>-75676.79412</v>
      </c>
    </row>
    <row r="14">
      <c r="A14" s="1" t="s">
        <v>108</v>
      </c>
      <c r="B14" s="1">
        <v>3.21854978E8</v>
      </c>
      <c r="D14" s="1">
        <v>118175.0</v>
      </c>
      <c r="E14" s="1">
        <v>154110.0</v>
      </c>
      <c r="F14" s="1">
        <v>1641.32</v>
      </c>
      <c r="G14" s="1">
        <v>31.58</v>
      </c>
      <c r="H14" s="1">
        <v>329.0</v>
      </c>
      <c r="I14" s="1">
        <v>6.0</v>
      </c>
      <c r="J14" s="1">
        <v>6.0</v>
      </c>
      <c r="K14" s="1">
        <v>12.0</v>
      </c>
      <c r="L14" s="1" t="b">
        <v>1</v>
      </c>
      <c r="M14" s="1" t="b">
        <v>1</v>
      </c>
      <c r="N14" s="1" t="b">
        <v>1</v>
      </c>
      <c r="O14" s="1" t="b">
        <v>1</v>
      </c>
      <c r="P14" s="1" t="b">
        <v>1</v>
      </c>
      <c r="Q14" s="1" t="b">
        <v>0</v>
      </c>
      <c r="R14" s="1" t="b">
        <v>0</v>
      </c>
      <c r="S14" s="1" t="s">
        <v>51</v>
      </c>
      <c r="T14" s="1" t="s">
        <v>109</v>
      </c>
      <c r="U14" s="1" t="s">
        <v>53</v>
      </c>
      <c r="V14" s="1">
        <v>5.0</v>
      </c>
      <c r="W14" s="1">
        <v>48.0</v>
      </c>
      <c r="X14" s="1">
        <v>3.0</v>
      </c>
      <c r="Y14" s="2">
        <v>46193.0</v>
      </c>
      <c r="Z14" s="1" t="s">
        <v>54</v>
      </c>
      <c r="AA14" s="1" t="b">
        <v>1</v>
      </c>
      <c r="AB14" s="1">
        <v>751.0</v>
      </c>
      <c r="AC14" s="1" t="b">
        <v>0</v>
      </c>
      <c r="AD14" s="1">
        <v>72.0</v>
      </c>
      <c r="AE14" s="1">
        <v>17.0</v>
      </c>
      <c r="AF14" s="3">
        <v>46155.0</v>
      </c>
      <c r="AG14" s="1" t="s">
        <v>55</v>
      </c>
      <c r="AH14" s="1" t="s">
        <v>56</v>
      </c>
      <c r="AI14" s="1" t="s">
        <v>56</v>
      </c>
      <c r="AJ14" s="1" t="s">
        <v>58</v>
      </c>
      <c r="AK14" s="1">
        <v>81623.0</v>
      </c>
      <c r="AL14" s="1" t="s">
        <v>59</v>
      </c>
      <c r="AM14" s="1" t="s">
        <v>60</v>
      </c>
      <c r="AN14" s="4" t="s">
        <v>110</v>
      </c>
      <c r="AO14" s="4" t="s">
        <v>111</v>
      </c>
      <c r="AP14" s="1">
        <v>4.8025432E7</v>
      </c>
      <c r="AR14" s="1">
        <v>39.43033</v>
      </c>
      <c r="AS14" s="1">
        <v>-107.18689</v>
      </c>
      <c r="AT14" s="5">
        <f t="shared" si="1"/>
        <v>41.81394958</v>
      </c>
      <c r="AU14" s="5">
        <f t="shared" si="2"/>
        <v>44185.20588</v>
      </c>
      <c r="AV14" s="5">
        <f t="shared" si="3"/>
        <v>0.2447496513</v>
      </c>
      <c r="AW14" s="5">
        <f t="shared" si="4"/>
        <v>-1.674537725</v>
      </c>
      <c r="AX14" s="5">
        <f t="shared" si="5"/>
        <v>-73989.79412</v>
      </c>
    </row>
    <row r="15">
      <c r="A15" s="1" t="s">
        <v>112</v>
      </c>
      <c r="B15" s="1">
        <v>1450252.0</v>
      </c>
      <c r="D15" s="1">
        <v>115171.0</v>
      </c>
      <c r="E15" s="1">
        <v>135480.0</v>
      </c>
      <c r="F15" s="1">
        <v>619.2</v>
      </c>
      <c r="G15" s="1">
        <v>68.63</v>
      </c>
      <c r="H15" s="1">
        <v>311.0</v>
      </c>
      <c r="I15" s="1">
        <v>2.0</v>
      </c>
      <c r="J15" s="1">
        <v>2.0</v>
      </c>
      <c r="K15" s="1">
        <v>4.0</v>
      </c>
      <c r="L15" s="1" t="b">
        <v>1</v>
      </c>
      <c r="M15" s="1" t="b">
        <v>0</v>
      </c>
      <c r="N15" s="1" t="b">
        <v>0</v>
      </c>
      <c r="O15" s="1" t="b">
        <v>0</v>
      </c>
      <c r="P15" s="1" t="b">
        <v>0</v>
      </c>
      <c r="Q15" s="1" t="b">
        <v>1</v>
      </c>
      <c r="R15" s="1" t="b">
        <v>0</v>
      </c>
      <c r="S15" s="1" t="s">
        <v>51</v>
      </c>
      <c r="T15" s="1" t="s">
        <v>65</v>
      </c>
      <c r="U15" s="1" t="s">
        <v>53</v>
      </c>
      <c r="V15" s="1">
        <v>5.0</v>
      </c>
      <c r="W15" s="1">
        <v>81.0</v>
      </c>
      <c r="X15" s="1">
        <v>3.0</v>
      </c>
      <c r="Y15" s="1">
        <v>1.0</v>
      </c>
      <c r="Z15" s="1" t="s">
        <v>54</v>
      </c>
      <c r="AA15" s="1" t="b">
        <v>0</v>
      </c>
      <c r="AB15" s="1">
        <v>150.0</v>
      </c>
      <c r="AC15" s="1" t="b">
        <v>1</v>
      </c>
      <c r="AD15" s="1">
        <v>186.0</v>
      </c>
      <c r="AE15" s="1">
        <v>28.0</v>
      </c>
      <c r="AF15" s="3">
        <v>46156.0</v>
      </c>
      <c r="AG15" s="1" t="s">
        <v>55</v>
      </c>
      <c r="AH15" s="1" t="s">
        <v>56</v>
      </c>
      <c r="AI15" s="1" t="s">
        <v>56</v>
      </c>
      <c r="AJ15" s="1" t="s">
        <v>58</v>
      </c>
      <c r="AK15" s="1">
        <v>81623.0</v>
      </c>
      <c r="AL15" s="1" t="s">
        <v>59</v>
      </c>
      <c r="AM15" s="1" t="s">
        <v>60</v>
      </c>
      <c r="AN15" s="4" t="s">
        <v>113</v>
      </c>
      <c r="AO15" s="4" t="s">
        <v>114</v>
      </c>
      <c r="AP15" s="1" t="s">
        <v>115</v>
      </c>
      <c r="AQ15" s="1">
        <v>1067606.0</v>
      </c>
      <c r="AR15" s="1">
        <v>39.3979475139</v>
      </c>
      <c r="AS15" s="1">
        <v>-107.1153172782</v>
      </c>
      <c r="AT15" s="5">
        <f t="shared" si="1"/>
        <v>41.81394958</v>
      </c>
      <c r="AU15" s="5">
        <f t="shared" si="2"/>
        <v>44185.20588</v>
      </c>
      <c r="AV15" s="5">
        <f t="shared" si="3"/>
        <v>-0.6413182847</v>
      </c>
      <c r="AW15" s="5">
        <f t="shared" si="4"/>
        <v>-1.606551168</v>
      </c>
      <c r="AX15" s="5">
        <f t="shared" si="5"/>
        <v>-70985.79412</v>
      </c>
    </row>
    <row r="16">
      <c r="A16" s="1" t="s">
        <v>116</v>
      </c>
      <c r="B16" s="1">
        <v>2.02354643E8</v>
      </c>
      <c r="D16" s="1">
        <v>112799.0</v>
      </c>
      <c r="E16" s="1">
        <v>128418.0</v>
      </c>
      <c r="F16" s="1">
        <v>1464.92</v>
      </c>
      <c r="G16" s="1">
        <v>39.69</v>
      </c>
      <c r="H16" s="1">
        <v>272.0</v>
      </c>
      <c r="I16" s="1">
        <v>7.0</v>
      </c>
      <c r="J16" s="1">
        <v>7.0</v>
      </c>
      <c r="K16" s="1">
        <v>14.0</v>
      </c>
      <c r="L16" s="1" t="b">
        <v>0</v>
      </c>
      <c r="M16" s="1" t="b">
        <v>0</v>
      </c>
      <c r="N16" s="1" t="b">
        <v>0</v>
      </c>
      <c r="O16" s="1" t="b">
        <v>1</v>
      </c>
      <c r="P16" s="1" t="b">
        <v>1</v>
      </c>
      <c r="Q16" s="1" t="b">
        <v>1</v>
      </c>
      <c r="R16" s="1" t="b">
        <v>0</v>
      </c>
      <c r="S16" s="1" t="s">
        <v>51</v>
      </c>
      <c r="T16" s="1" t="s">
        <v>65</v>
      </c>
      <c r="U16" s="1" t="s">
        <v>53</v>
      </c>
      <c r="V16" s="1">
        <v>4.95</v>
      </c>
      <c r="W16" s="1">
        <v>15.0</v>
      </c>
      <c r="X16" s="1">
        <v>3.0</v>
      </c>
      <c r="Y16" s="2">
        <v>46193.0</v>
      </c>
      <c r="Z16" s="1" t="s">
        <v>54</v>
      </c>
      <c r="AA16" s="1" t="b">
        <v>0</v>
      </c>
      <c r="AB16" s="1">
        <v>400.0</v>
      </c>
      <c r="AC16" s="1" t="b">
        <v>1</v>
      </c>
      <c r="AD16" s="1">
        <v>77.0</v>
      </c>
      <c r="AE16" s="1">
        <v>18.0</v>
      </c>
      <c r="AF16" s="3">
        <v>46159.0</v>
      </c>
      <c r="AG16" s="1" t="s">
        <v>55</v>
      </c>
      <c r="AH16" s="1" t="s">
        <v>56</v>
      </c>
      <c r="AI16" s="1" t="s">
        <v>56</v>
      </c>
      <c r="AJ16" s="1" t="s">
        <v>58</v>
      </c>
      <c r="AK16" s="1">
        <v>81623.0</v>
      </c>
      <c r="AL16" s="1" t="s">
        <v>59</v>
      </c>
      <c r="AM16" s="1" t="s">
        <v>60</v>
      </c>
      <c r="AN16" s="4" t="s">
        <v>117</v>
      </c>
      <c r="AO16" s="4" t="s">
        <v>118</v>
      </c>
      <c r="AP16" s="1">
        <v>2.9412594E7</v>
      </c>
      <c r="AQ16" s="1">
        <v>2332733.0</v>
      </c>
      <c r="AR16" s="1">
        <v>39.08423</v>
      </c>
      <c r="AS16" s="1">
        <v>-107.24177</v>
      </c>
      <c r="AT16" s="5">
        <f t="shared" si="1"/>
        <v>41.81394958</v>
      </c>
      <c r="AU16" s="5">
        <f t="shared" si="2"/>
        <v>44185.20588</v>
      </c>
      <c r="AV16" s="5">
        <f t="shared" si="3"/>
        <v>0.05079523942</v>
      </c>
      <c r="AW16" s="5">
        <f t="shared" si="4"/>
        <v>-1.552868041</v>
      </c>
      <c r="AX16" s="5">
        <f t="shared" si="5"/>
        <v>-68613.79412</v>
      </c>
    </row>
    <row r="17">
      <c r="A17" s="1" t="s">
        <v>119</v>
      </c>
      <c r="B17" s="1">
        <v>2.56503022E8</v>
      </c>
      <c r="D17" s="1">
        <v>111862.0</v>
      </c>
      <c r="E17" s="1">
        <v>165105.0</v>
      </c>
      <c r="F17" s="1">
        <v>1398.28</v>
      </c>
      <c r="G17" s="1">
        <v>35.24</v>
      </c>
      <c r="H17" s="1">
        <v>295.0</v>
      </c>
      <c r="I17" s="1">
        <v>4.0</v>
      </c>
      <c r="J17" s="1">
        <v>4.0</v>
      </c>
      <c r="K17" s="1">
        <v>10.0</v>
      </c>
      <c r="L17" s="1" t="b">
        <v>1</v>
      </c>
      <c r="M17" s="1" t="b">
        <v>1</v>
      </c>
      <c r="N17" s="1" t="b">
        <v>0</v>
      </c>
      <c r="O17" s="1" t="b">
        <v>1</v>
      </c>
      <c r="P17" s="1" t="b">
        <v>1</v>
      </c>
      <c r="Q17" s="1" t="b">
        <v>0</v>
      </c>
      <c r="R17" s="1" t="b">
        <v>1</v>
      </c>
      <c r="S17" s="1" t="s">
        <v>51</v>
      </c>
      <c r="T17" s="1" t="s">
        <v>65</v>
      </c>
      <c r="U17" s="1" t="s">
        <v>53</v>
      </c>
      <c r="V17" s="1">
        <v>4.95</v>
      </c>
      <c r="W17" s="1">
        <v>28.0</v>
      </c>
      <c r="X17" s="1">
        <v>2.0</v>
      </c>
      <c r="Y17" s="1">
        <v>1.0</v>
      </c>
      <c r="Z17" s="1" t="s">
        <v>54</v>
      </c>
      <c r="AA17" s="1" t="b">
        <v>0</v>
      </c>
      <c r="AB17" s="1">
        <v>362.0</v>
      </c>
      <c r="AC17" s="1" t="b">
        <v>0</v>
      </c>
      <c r="AD17" s="1">
        <v>80.0</v>
      </c>
      <c r="AE17" s="1">
        <v>20.0</v>
      </c>
      <c r="AF17" s="3">
        <v>46156.0</v>
      </c>
      <c r="AG17" s="1" t="s">
        <v>55</v>
      </c>
      <c r="AH17" s="1" t="s">
        <v>56</v>
      </c>
      <c r="AI17" s="1" t="s">
        <v>56</v>
      </c>
      <c r="AJ17" s="1" t="s">
        <v>58</v>
      </c>
      <c r="AK17" s="1">
        <v>81623.0</v>
      </c>
      <c r="AL17" s="1" t="s">
        <v>59</v>
      </c>
      <c r="AM17" s="1" t="s">
        <v>60</v>
      </c>
      <c r="AN17" s="4" t="s">
        <v>120</v>
      </c>
      <c r="AO17" s="4" t="s">
        <v>121</v>
      </c>
      <c r="AP17" s="1" t="s">
        <v>122</v>
      </c>
      <c r="AQ17" s="1">
        <v>3475131.0</v>
      </c>
      <c r="AR17" s="1">
        <v>39.40655</v>
      </c>
      <c r="AS17" s="1">
        <v>-107.12254</v>
      </c>
      <c r="AT17" s="5">
        <f t="shared" si="1"/>
        <v>41.81394958</v>
      </c>
      <c r="AU17" s="5">
        <f t="shared" si="2"/>
        <v>44185.20588</v>
      </c>
      <c r="AV17" s="5">
        <f t="shared" si="3"/>
        <v>0.1572190536</v>
      </c>
      <c r="AW17" s="5">
        <f t="shared" si="4"/>
        <v>-1.531661848</v>
      </c>
      <c r="AX17" s="5">
        <f t="shared" si="5"/>
        <v>-67676.79412</v>
      </c>
    </row>
    <row r="18">
      <c r="A18" s="1" t="s">
        <v>123</v>
      </c>
      <c r="B18" s="1">
        <v>1.3610419E7</v>
      </c>
      <c r="D18" s="1">
        <v>109832.0</v>
      </c>
      <c r="E18" s="1">
        <v>120049.0</v>
      </c>
      <c r="F18" s="1">
        <v>530.59</v>
      </c>
      <c r="G18" s="1">
        <v>63.69</v>
      </c>
      <c r="H18" s="1">
        <v>325.0</v>
      </c>
      <c r="I18" s="1">
        <v>3.0</v>
      </c>
      <c r="J18" s="1">
        <v>2.0</v>
      </c>
      <c r="K18" s="1">
        <v>8.0</v>
      </c>
      <c r="L18" s="1" t="b">
        <v>1</v>
      </c>
      <c r="M18" s="1" t="b">
        <v>0</v>
      </c>
      <c r="N18" s="1" t="b">
        <v>0</v>
      </c>
      <c r="O18" s="1" t="b">
        <v>1</v>
      </c>
      <c r="P18" s="1" t="b">
        <v>1</v>
      </c>
      <c r="Q18" s="1" t="b">
        <v>1</v>
      </c>
      <c r="R18" s="1" t="b">
        <v>0</v>
      </c>
      <c r="S18" s="1" t="s">
        <v>51</v>
      </c>
      <c r="T18" s="1" t="s">
        <v>65</v>
      </c>
      <c r="U18" s="1" t="s">
        <v>53</v>
      </c>
      <c r="V18" s="1">
        <v>4.95</v>
      </c>
      <c r="W18" s="1">
        <v>97.0</v>
      </c>
      <c r="X18" s="1">
        <v>1.0</v>
      </c>
      <c r="Y18" s="2">
        <v>46058.0</v>
      </c>
      <c r="Z18" s="1" t="s">
        <v>54</v>
      </c>
      <c r="AA18" s="1" t="b">
        <v>1</v>
      </c>
      <c r="AB18" s="1">
        <v>200.0</v>
      </c>
      <c r="AC18" s="1" t="b">
        <v>0</v>
      </c>
      <c r="AD18" s="1">
        <v>207.0</v>
      </c>
      <c r="AE18" s="1">
        <v>81.0</v>
      </c>
      <c r="AF18" s="3">
        <v>46159.0</v>
      </c>
      <c r="AG18" s="1" t="s">
        <v>55</v>
      </c>
      <c r="AH18" s="1" t="s">
        <v>56</v>
      </c>
      <c r="AI18" s="1" t="s">
        <v>56</v>
      </c>
      <c r="AJ18" s="1" t="s">
        <v>58</v>
      </c>
      <c r="AK18" s="1">
        <v>81623.0</v>
      </c>
      <c r="AL18" s="1" t="s">
        <v>59</v>
      </c>
      <c r="AM18" s="1" t="s">
        <v>60</v>
      </c>
      <c r="AN18" s="4" t="s">
        <v>124</v>
      </c>
      <c r="AO18" s="4" t="s">
        <v>125</v>
      </c>
      <c r="AP18" s="1" t="s">
        <v>126</v>
      </c>
      <c r="AR18" s="1">
        <v>39.47438</v>
      </c>
      <c r="AS18" s="1">
        <v>-107.11702</v>
      </c>
      <c r="AT18" s="5">
        <f t="shared" si="1"/>
        <v>41.81394958</v>
      </c>
      <c r="AU18" s="5">
        <f t="shared" si="2"/>
        <v>44185.20588</v>
      </c>
      <c r="AV18" s="5">
        <f t="shared" si="3"/>
        <v>-0.5231758932</v>
      </c>
      <c r="AW18" s="5">
        <f t="shared" si="4"/>
        <v>-1.485718869</v>
      </c>
      <c r="AX18" s="5">
        <f t="shared" si="5"/>
        <v>-65646.79412</v>
      </c>
    </row>
    <row r="19">
      <c r="A19" s="1" t="s">
        <v>127</v>
      </c>
      <c r="B19" s="1" t="s">
        <v>128</v>
      </c>
      <c r="D19" s="1">
        <v>100163.0</v>
      </c>
      <c r="E19" s="1">
        <v>143170.0</v>
      </c>
      <c r="F19" s="1">
        <v>572.36</v>
      </c>
      <c r="G19" s="1">
        <v>74.79</v>
      </c>
      <c r="H19" s="1">
        <v>247.0</v>
      </c>
      <c r="I19" s="1">
        <v>3.0</v>
      </c>
      <c r="J19" s="1">
        <v>3.0</v>
      </c>
      <c r="K19" s="1">
        <v>4.0</v>
      </c>
      <c r="L19" s="1" t="b">
        <v>0</v>
      </c>
      <c r="M19" s="1" t="b">
        <v>0</v>
      </c>
      <c r="N19" s="1" t="b">
        <v>1</v>
      </c>
      <c r="O19" s="1" t="b">
        <v>1</v>
      </c>
      <c r="P19" s="1" t="b">
        <v>1</v>
      </c>
      <c r="Q19" s="1" t="b">
        <v>0</v>
      </c>
      <c r="R19" s="1" t="b">
        <v>0</v>
      </c>
      <c r="S19" s="1" t="s">
        <v>51</v>
      </c>
      <c r="T19" s="1" t="s">
        <v>65</v>
      </c>
      <c r="U19" s="1" t="s">
        <v>53</v>
      </c>
      <c r="V19" s="1">
        <v>4.95</v>
      </c>
      <c r="W19" s="1">
        <v>114.0</v>
      </c>
      <c r="X19" s="1">
        <v>3.0</v>
      </c>
      <c r="Y19" s="1" t="s">
        <v>71</v>
      </c>
      <c r="Z19" s="1" t="s">
        <v>54</v>
      </c>
      <c r="AA19" s="1" t="b">
        <v>0</v>
      </c>
      <c r="AB19" s="1">
        <v>444.0</v>
      </c>
      <c r="AC19" s="1" t="b">
        <v>1</v>
      </c>
      <c r="AD19" s="1">
        <v>175.0</v>
      </c>
      <c r="AE19" s="1">
        <v>30.0</v>
      </c>
      <c r="AF19" s="3">
        <v>46153.0</v>
      </c>
      <c r="AG19" s="1" t="s">
        <v>55</v>
      </c>
      <c r="AH19" s="1" t="s">
        <v>56</v>
      </c>
      <c r="AI19" s="1" t="s">
        <v>57</v>
      </c>
      <c r="AJ19" s="1" t="s">
        <v>58</v>
      </c>
      <c r="AK19" s="1">
        <v>81654.0</v>
      </c>
      <c r="AL19" s="1" t="s">
        <v>59</v>
      </c>
      <c r="AM19" s="1" t="s">
        <v>60</v>
      </c>
      <c r="AN19" s="4" t="s">
        <v>129</v>
      </c>
      <c r="AO19" s="4" t="s">
        <v>130</v>
      </c>
      <c r="AP19" s="1">
        <v>1.8446757E7</v>
      </c>
      <c r="AQ19" s="1" t="s">
        <v>131</v>
      </c>
      <c r="AR19" s="1">
        <v>39.2982</v>
      </c>
      <c r="AS19" s="1">
        <v>-107.0023</v>
      </c>
      <c r="AT19" s="5">
        <f t="shared" si="1"/>
        <v>41.81394958</v>
      </c>
      <c r="AU19" s="5">
        <f t="shared" si="2"/>
        <v>44185.20588</v>
      </c>
      <c r="AV19" s="5">
        <f t="shared" si="3"/>
        <v>-0.7886375421</v>
      </c>
      <c r="AW19" s="5">
        <f t="shared" si="4"/>
        <v>-1.266889969</v>
      </c>
      <c r="AX19" s="5">
        <f t="shared" si="5"/>
        <v>-55977.79412</v>
      </c>
    </row>
    <row r="20">
      <c r="A20" s="1" t="s">
        <v>132</v>
      </c>
      <c r="D20" s="1">
        <v>96750.0</v>
      </c>
      <c r="E20" s="1">
        <v>124636.0</v>
      </c>
      <c r="F20" s="1">
        <v>774.0</v>
      </c>
      <c r="G20" s="1">
        <v>76.22</v>
      </c>
      <c r="H20" s="1">
        <v>300.0</v>
      </c>
      <c r="I20" s="1">
        <v>4.0</v>
      </c>
      <c r="J20" s="1">
        <v>3.0</v>
      </c>
      <c r="K20" s="1">
        <v>10.0</v>
      </c>
      <c r="L20" s="1" t="b">
        <v>0</v>
      </c>
      <c r="M20" s="1" t="b">
        <v>0</v>
      </c>
      <c r="N20" s="1" t="b">
        <v>0</v>
      </c>
      <c r="O20" s="1" t="b">
        <v>1</v>
      </c>
      <c r="P20" s="1" t="b">
        <v>1</v>
      </c>
      <c r="Q20" s="1" t="b">
        <v>0</v>
      </c>
      <c r="R20" s="1" t="b">
        <v>0</v>
      </c>
      <c r="S20" s="1" t="s">
        <v>51</v>
      </c>
      <c r="T20" s="1" t="s">
        <v>65</v>
      </c>
      <c r="U20" s="1" t="s">
        <v>53</v>
      </c>
      <c r="V20" s="1">
        <v>5.0</v>
      </c>
      <c r="W20" s="1">
        <v>6.0</v>
      </c>
      <c r="X20" s="1">
        <v>30.0</v>
      </c>
      <c r="Y20" s="1">
        <v>1.0</v>
      </c>
      <c r="Z20" s="1" t="s">
        <v>54</v>
      </c>
      <c r="AA20" s="1" t="b">
        <v>0</v>
      </c>
      <c r="AB20" s="1">
        <v>492.0</v>
      </c>
      <c r="AC20" s="1" t="b">
        <v>0</v>
      </c>
      <c r="AD20" s="1">
        <v>125.0</v>
      </c>
      <c r="AE20" s="1">
        <v>6.0</v>
      </c>
      <c r="AF20" s="3">
        <v>46158.0</v>
      </c>
      <c r="AG20" s="1" t="s">
        <v>55</v>
      </c>
      <c r="AH20" s="1" t="s">
        <v>56</v>
      </c>
      <c r="AI20" s="1" t="s">
        <v>72</v>
      </c>
      <c r="AJ20" s="1" t="s">
        <v>58</v>
      </c>
      <c r="AK20" s="1">
        <v>81621.0</v>
      </c>
      <c r="AL20" s="1" t="s">
        <v>59</v>
      </c>
      <c r="AM20" s="1" t="s">
        <v>60</v>
      </c>
      <c r="AN20" s="4" t="s">
        <v>133</v>
      </c>
      <c r="AO20" s="4" t="s">
        <v>134</v>
      </c>
      <c r="AQ20" s="1">
        <v>3058982.0</v>
      </c>
      <c r="AR20" s="1">
        <v>39.364207</v>
      </c>
      <c r="AS20" s="1">
        <v>-107.024647</v>
      </c>
      <c r="AT20" s="5">
        <f t="shared" si="1"/>
        <v>41.81394958</v>
      </c>
      <c r="AU20" s="5">
        <f t="shared" si="2"/>
        <v>44185.20588</v>
      </c>
      <c r="AV20" s="5">
        <f t="shared" si="3"/>
        <v>-0.8228366554</v>
      </c>
      <c r="AW20" s="5">
        <f t="shared" si="4"/>
        <v>-1.189646921</v>
      </c>
      <c r="AX20" s="5">
        <f t="shared" si="5"/>
        <v>-52564.79412</v>
      </c>
    </row>
    <row r="21">
      <c r="A21" s="1" t="s">
        <v>135</v>
      </c>
      <c r="B21" s="1" t="s">
        <v>136</v>
      </c>
      <c r="D21" s="1">
        <v>92853.0</v>
      </c>
      <c r="E21" s="1">
        <v>112403.0</v>
      </c>
      <c r="F21" s="1">
        <v>967.22</v>
      </c>
      <c r="G21" s="1">
        <v>45.28</v>
      </c>
      <c r="H21" s="1">
        <v>238.0</v>
      </c>
      <c r="I21" s="1">
        <v>4.0</v>
      </c>
      <c r="J21" s="1">
        <v>4.0</v>
      </c>
      <c r="K21" s="1">
        <v>8.0</v>
      </c>
      <c r="L21" s="1" t="b">
        <v>0</v>
      </c>
      <c r="M21" s="1" t="b">
        <v>0</v>
      </c>
      <c r="N21" s="1" t="b">
        <v>1</v>
      </c>
      <c r="O21" s="1" t="b">
        <v>0</v>
      </c>
      <c r="P21" s="1" t="b">
        <v>0</v>
      </c>
      <c r="Q21" s="1" t="b">
        <v>0</v>
      </c>
      <c r="R21" s="1" t="b">
        <v>0</v>
      </c>
      <c r="S21" s="1" t="s">
        <v>51</v>
      </c>
      <c r="T21" s="1" t="s">
        <v>137</v>
      </c>
      <c r="U21" s="1" t="s">
        <v>53</v>
      </c>
      <c r="V21" s="1">
        <v>4.4</v>
      </c>
      <c r="W21" s="1">
        <v>3.0</v>
      </c>
      <c r="X21" s="1">
        <v>4.0</v>
      </c>
      <c r="Y21" s="1" t="s">
        <v>71</v>
      </c>
      <c r="Z21" s="1" t="s">
        <v>54</v>
      </c>
      <c r="AA21" s="1" t="b">
        <v>1</v>
      </c>
      <c r="AB21" s="1">
        <v>454.0</v>
      </c>
      <c r="AC21" s="1" t="b">
        <v>1</v>
      </c>
      <c r="AD21" s="1">
        <v>96.0</v>
      </c>
      <c r="AE21" s="1">
        <v>22.0</v>
      </c>
      <c r="AF21" s="3">
        <v>46155.0</v>
      </c>
      <c r="AG21" s="1" t="s">
        <v>55</v>
      </c>
      <c r="AH21" s="1" t="s">
        <v>56</v>
      </c>
      <c r="AI21" s="1" t="s">
        <v>56</v>
      </c>
      <c r="AJ21" s="1" t="s">
        <v>58</v>
      </c>
      <c r="AK21" s="1">
        <v>81623.0</v>
      </c>
      <c r="AL21" s="1" t="s">
        <v>59</v>
      </c>
      <c r="AM21" s="1" t="s">
        <v>60</v>
      </c>
      <c r="AN21" s="4" t="s">
        <v>138</v>
      </c>
      <c r="AO21" s="4" t="s">
        <v>139</v>
      </c>
      <c r="AP21" s="1" t="s">
        <v>140</v>
      </c>
      <c r="AQ21" s="1">
        <v>976219.0</v>
      </c>
      <c r="AR21" s="1">
        <v>39.2278870208</v>
      </c>
      <c r="AS21" s="1">
        <v>-107.2246176898</v>
      </c>
      <c r="AT21" s="5">
        <f t="shared" si="1"/>
        <v>41.81394958</v>
      </c>
      <c r="AU21" s="5">
        <f t="shared" si="2"/>
        <v>44185.20588</v>
      </c>
      <c r="AV21" s="5">
        <f t="shared" si="3"/>
        <v>-0.08289220356</v>
      </c>
      <c r="AW21" s="5">
        <f t="shared" si="4"/>
        <v>-1.10144998</v>
      </c>
      <c r="AX21" s="5">
        <f t="shared" si="5"/>
        <v>-48667.79412</v>
      </c>
    </row>
    <row r="22">
      <c r="A22" s="1" t="s">
        <v>141</v>
      </c>
      <c r="B22" s="1">
        <v>2.2285081E7</v>
      </c>
      <c r="D22" s="1">
        <v>85470.0</v>
      </c>
      <c r="E22" s="1">
        <v>97116.0</v>
      </c>
      <c r="F22" s="1">
        <v>1042.32</v>
      </c>
      <c r="G22" s="1">
        <v>75.93</v>
      </c>
      <c r="H22" s="1">
        <v>337.0</v>
      </c>
      <c r="I22" s="1">
        <v>3.0</v>
      </c>
      <c r="J22" s="1">
        <v>2.0</v>
      </c>
      <c r="K22" s="1">
        <v>4.0</v>
      </c>
      <c r="L22" s="1" t="b">
        <v>0</v>
      </c>
      <c r="M22" s="1" t="b">
        <v>0</v>
      </c>
      <c r="N22" s="1" t="b">
        <v>1</v>
      </c>
      <c r="O22" s="1" t="b">
        <v>1</v>
      </c>
      <c r="P22" s="1" t="b">
        <v>1</v>
      </c>
      <c r="Q22" s="1" t="b">
        <v>1</v>
      </c>
      <c r="R22" s="1" t="b">
        <v>0</v>
      </c>
      <c r="S22" s="1" t="s">
        <v>51</v>
      </c>
      <c r="T22" s="1" t="s">
        <v>65</v>
      </c>
      <c r="U22" s="1" t="s">
        <v>53</v>
      </c>
      <c r="V22" s="1">
        <v>5.0</v>
      </c>
      <c r="W22" s="1">
        <v>4.0</v>
      </c>
      <c r="X22" s="1">
        <v>30.0</v>
      </c>
      <c r="Y22" s="2">
        <v>46058.0</v>
      </c>
      <c r="Z22" s="1" t="s">
        <v>54</v>
      </c>
      <c r="AA22" s="1" t="b">
        <v>0</v>
      </c>
      <c r="AB22" s="1">
        <v>250.0</v>
      </c>
      <c r="AC22" s="1" t="b">
        <v>0</v>
      </c>
      <c r="AD22" s="1">
        <v>82.0</v>
      </c>
      <c r="AE22" s="1">
        <v>2.0</v>
      </c>
      <c r="AF22" s="3">
        <v>46153.0</v>
      </c>
      <c r="AG22" s="1" t="s">
        <v>55</v>
      </c>
      <c r="AH22" s="1" t="s">
        <v>56</v>
      </c>
      <c r="AI22" s="1" t="s">
        <v>57</v>
      </c>
      <c r="AJ22" s="1" t="s">
        <v>58</v>
      </c>
      <c r="AK22" s="1">
        <v>81654.0</v>
      </c>
      <c r="AL22" s="1" t="s">
        <v>59</v>
      </c>
      <c r="AM22" s="1" t="s">
        <v>60</v>
      </c>
      <c r="AN22" s="4" t="s">
        <v>142</v>
      </c>
      <c r="AO22" s="4" t="s">
        <v>143</v>
      </c>
      <c r="AP22" s="1" t="s">
        <v>144</v>
      </c>
      <c r="AQ22" s="1">
        <v>2011113.0</v>
      </c>
      <c r="AR22" s="1">
        <v>39.30014</v>
      </c>
      <c r="AS22" s="1">
        <v>-107.00763</v>
      </c>
      <c r="AT22" s="5">
        <f t="shared" si="1"/>
        <v>41.81394958</v>
      </c>
      <c r="AU22" s="5">
        <f t="shared" si="2"/>
        <v>44185.20588</v>
      </c>
      <c r="AV22" s="5">
        <f t="shared" si="3"/>
        <v>-0.8159011709</v>
      </c>
      <c r="AW22" s="5">
        <f t="shared" si="4"/>
        <v>-0.9343578533</v>
      </c>
      <c r="AX22" s="5">
        <f t="shared" si="5"/>
        <v>-41284.79412</v>
      </c>
    </row>
    <row r="23">
      <c r="A23" s="1" t="s">
        <v>145</v>
      </c>
      <c r="B23" s="1" t="s">
        <v>98</v>
      </c>
      <c r="D23" s="1">
        <v>84597.0</v>
      </c>
      <c r="E23" s="1">
        <v>86746.0</v>
      </c>
      <c r="F23" s="1">
        <v>384.53</v>
      </c>
      <c r="G23" s="1">
        <v>81.78</v>
      </c>
      <c r="H23" s="1">
        <v>269.0</v>
      </c>
      <c r="I23" s="1">
        <v>2.0</v>
      </c>
      <c r="J23" s="1">
        <v>2.0</v>
      </c>
      <c r="K23" s="1">
        <v>6.0</v>
      </c>
      <c r="L23" s="1" t="b">
        <v>1</v>
      </c>
      <c r="M23" s="1" t="b">
        <v>0</v>
      </c>
      <c r="N23" s="1" t="b">
        <v>0</v>
      </c>
      <c r="O23" s="1" t="b">
        <v>1</v>
      </c>
      <c r="P23" s="1" t="b">
        <v>1</v>
      </c>
      <c r="Q23" s="1" t="b">
        <v>1</v>
      </c>
      <c r="R23" s="1" t="b">
        <v>0</v>
      </c>
      <c r="S23" s="1" t="s">
        <v>51</v>
      </c>
      <c r="T23" s="1" t="s">
        <v>65</v>
      </c>
      <c r="U23" s="1" t="s">
        <v>53</v>
      </c>
      <c r="V23" s="1">
        <v>4.85</v>
      </c>
      <c r="W23" s="1">
        <v>286.0</v>
      </c>
      <c r="X23" s="1">
        <v>3.0</v>
      </c>
      <c r="Y23" s="1" t="s">
        <v>71</v>
      </c>
      <c r="Z23" s="1" t="s">
        <v>54</v>
      </c>
      <c r="AA23" s="1" t="b">
        <v>1</v>
      </c>
      <c r="AB23" s="1">
        <v>230.0</v>
      </c>
      <c r="AC23" s="1" t="b">
        <v>0</v>
      </c>
      <c r="AD23" s="1">
        <v>220.0</v>
      </c>
      <c r="AE23" s="1">
        <v>54.0</v>
      </c>
      <c r="AF23" s="3">
        <v>46153.0</v>
      </c>
      <c r="AG23" s="1" t="s">
        <v>55</v>
      </c>
      <c r="AH23" s="1" t="s">
        <v>56</v>
      </c>
      <c r="AI23" s="1" t="s">
        <v>56</v>
      </c>
      <c r="AJ23" s="1" t="s">
        <v>58</v>
      </c>
      <c r="AK23" s="1">
        <v>81623.0</v>
      </c>
      <c r="AL23" s="1" t="s">
        <v>59</v>
      </c>
      <c r="AM23" s="1" t="s">
        <v>60</v>
      </c>
      <c r="AN23" s="4" t="s">
        <v>146</v>
      </c>
      <c r="AO23" s="4" t="s">
        <v>147</v>
      </c>
      <c r="AP23" s="1">
        <v>3.6757348E7</v>
      </c>
      <c r="AQ23" s="1">
        <v>1614704.0</v>
      </c>
      <c r="AR23" s="1">
        <v>39.4173</v>
      </c>
      <c r="AS23" s="1">
        <v>-107.20672</v>
      </c>
      <c r="AT23" s="5">
        <f t="shared" si="1"/>
        <v>41.81394958</v>
      </c>
      <c r="AU23" s="5">
        <f t="shared" si="2"/>
        <v>44185.20588</v>
      </c>
      <c r="AV23" s="5">
        <f t="shared" si="3"/>
        <v>-0.9558066344</v>
      </c>
      <c r="AW23" s="5">
        <f t="shared" si="4"/>
        <v>-0.914600109</v>
      </c>
      <c r="AX23" s="5">
        <f t="shared" si="5"/>
        <v>-40411.79412</v>
      </c>
    </row>
    <row r="24">
      <c r="A24" s="1" t="s">
        <v>148</v>
      </c>
      <c r="B24" s="1" t="s">
        <v>98</v>
      </c>
      <c r="D24" s="1">
        <v>80281.0</v>
      </c>
      <c r="E24" s="1">
        <v>86511.0</v>
      </c>
      <c r="F24" s="1">
        <v>385.97</v>
      </c>
      <c r="G24" s="1">
        <v>66.03</v>
      </c>
      <c r="H24" s="1">
        <v>316.0</v>
      </c>
      <c r="I24" s="1">
        <v>2.0</v>
      </c>
      <c r="J24" s="1">
        <v>1.0</v>
      </c>
      <c r="K24" s="1">
        <v>5.0</v>
      </c>
      <c r="L24" s="1" t="b">
        <v>1</v>
      </c>
      <c r="M24" s="1" t="b">
        <v>0</v>
      </c>
      <c r="N24" s="1" t="b">
        <v>0</v>
      </c>
      <c r="O24" s="1" t="b">
        <v>1</v>
      </c>
      <c r="P24" s="1" t="b">
        <v>1</v>
      </c>
      <c r="Q24" s="1" t="b">
        <v>1</v>
      </c>
      <c r="R24" s="1" t="b">
        <v>0</v>
      </c>
      <c r="S24" s="1" t="s">
        <v>51</v>
      </c>
      <c r="T24" s="1" t="s">
        <v>65</v>
      </c>
      <c r="U24" s="1" t="s">
        <v>53</v>
      </c>
      <c r="V24" s="1">
        <v>4.9</v>
      </c>
      <c r="W24" s="1">
        <v>74.0</v>
      </c>
      <c r="X24" s="1">
        <v>2.0</v>
      </c>
      <c r="Y24" s="1" t="s">
        <v>71</v>
      </c>
      <c r="Z24" s="1" t="s">
        <v>54</v>
      </c>
      <c r="AA24" s="1" t="b">
        <v>1</v>
      </c>
      <c r="AB24" s="1">
        <v>251.0</v>
      </c>
      <c r="AC24" s="1" t="b">
        <v>0</v>
      </c>
      <c r="AD24" s="1">
        <v>208.0</v>
      </c>
      <c r="AE24" s="1">
        <v>60.0</v>
      </c>
      <c r="AF24" s="3">
        <v>46159.0</v>
      </c>
      <c r="AG24" s="1" t="s">
        <v>55</v>
      </c>
      <c r="AH24" s="1" t="s">
        <v>56</v>
      </c>
      <c r="AI24" s="1" t="s">
        <v>56</v>
      </c>
      <c r="AJ24" s="1" t="s">
        <v>58</v>
      </c>
      <c r="AK24" s="1">
        <v>81623.0</v>
      </c>
      <c r="AL24" s="1" t="s">
        <v>59</v>
      </c>
      <c r="AM24" s="1" t="s">
        <v>60</v>
      </c>
      <c r="AN24" s="4" t="s">
        <v>149</v>
      </c>
      <c r="AO24" s="4" t="s">
        <v>150</v>
      </c>
      <c r="AP24" s="1">
        <v>5.3959021E7</v>
      </c>
      <c r="AQ24" s="1">
        <v>2592939.0</v>
      </c>
      <c r="AR24" s="1">
        <v>39.40185</v>
      </c>
      <c r="AS24" s="1">
        <v>-107.20923</v>
      </c>
      <c r="AT24" s="5">
        <f t="shared" si="1"/>
        <v>41.81394958</v>
      </c>
      <c r="AU24" s="5">
        <f t="shared" si="2"/>
        <v>44185.20588</v>
      </c>
      <c r="AV24" s="5">
        <f t="shared" si="3"/>
        <v>-0.5791380786</v>
      </c>
      <c r="AW24" s="5">
        <f t="shared" si="4"/>
        <v>-0.816920356</v>
      </c>
      <c r="AX24" s="5">
        <f t="shared" si="5"/>
        <v>-36095.79412</v>
      </c>
    </row>
    <row r="25">
      <c r="A25" s="1" t="s">
        <v>151</v>
      </c>
      <c r="B25" s="1">
        <v>1.6972182E8</v>
      </c>
      <c r="D25" s="1">
        <v>78614.0</v>
      </c>
      <c r="E25" s="1">
        <v>91909.0</v>
      </c>
      <c r="F25" s="1">
        <v>507.19</v>
      </c>
      <c r="G25" s="1">
        <v>53.45</v>
      </c>
      <c r="H25" s="1">
        <v>302.0</v>
      </c>
      <c r="I25" s="1">
        <v>3.0</v>
      </c>
      <c r="J25" s="1">
        <v>2.0</v>
      </c>
      <c r="K25" s="1">
        <v>8.0</v>
      </c>
      <c r="L25" s="1" t="b">
        <v>0</v>
      </c>
      <c r="M25" s="1" t="b">
        <v>0</v>
      </c>
      <c r="N25" s="1" t="b">
        <v>0</v>
      </c>
      <c r="O25" s="1" t="b">
        <v>1</v>
      </c>
      <c r="P25" s="1" t="b">
        <v>1</v>
      </c>
      <c r="Q25" s="1" t="b">
        <v>1</v>
      </c>
      <c r="R25" s="1" t="b">
        <v>0</v>
      </c>
      <c r="S25" s="1" t="s">
        <v>51</v>
      </c>
      <c r="T25" s="1" t="s">
        <v>65</v>
      </c>
      <c r="U25" s="1" t="s">
        <v>53</v>
      </c>
      <c r="V25" s="1">
        <v>4.95</v>
      </c>
      <c r="W25" s="1">
        <v>66.0</v>
      </c>
      <c r="X25" s="1">
        <v>2.0</v>
      </c>
      <c r="Y25" s="1">
        <v>1.0</v>
      </c>
      <c r="Z25" s="1" t="s">
        <v>54</v>
      </c>
      <c r="AA25" s="1" t="b">
        <v>1</v>
      </c>
      <c r="AB25" s="1">
        <v>220.0</v>
      </c>
      <c r="AC25" s="1" t="b">
        <v>0</v>
      </c>
      <c r="AD25" s="1">
        <v>155.0</v>
      </c>
      <c r="AE25" s="1">
        <v>43.0</v>
      </c>
      <c r="AF25" s="3">
        <v>46159.0</v>
      </c>
      <c r="AG25" s="1" t="s">
        <v>55</v>
      </c>
      <c r="AH25" s="1" t="s">
        <v>56</v>
      </c>
      <c r="AI25" s="1" t="s">
        <v>56</v>
      </c>
      <c r="AJ25" s="1" t="s">
        <v>58</v>
      </c>
      <c r="AK25" s="1">
        <v>81623.0</v>
      </c>
      <c r="AL25" s="1" t="s">
        <v>59</v>
      </c>
      <c r="AM25" s="1" t="s">
        <v>60</v>
      </c>
      <c r="AN25" s="4" t="s">
        <v>152</v>
      </c>
      <c r="AO25" s="4" t="s">
        <v>153</v>
      </c>
      <c r="AP25" s="1" t="s">
        <v>154</v>
      </c>
      <c r="AR25" s="1">
        <v>39.4517</v>
      </c>
      <c r="AS25" s="1">
        <v>-107.1335</v>
      </c>
      <c r="AT25" s="5">
        <f t="shared" si="1"/>
        <v>41.81394958</v>
      </c>
      <c r="AU25" s="5">
        <f t="shared" si="2"/>
        <v>44185.20588</v>
      </c>
      <c r="AV25" s="5">
        <f t="shared" si="3"/>
        <v>-0.2782815433</v>
      </c>
      <c r="AW25" s="5">
        <f t="shared" si="4"/>
        <v>-0.7791927961</v>
      </c>
      <c r="AX25" s="5">
        <f t="shared" si="5"/>
        <v>-34428.79412</v>
      </c>
    </row>
    <row r="26">
      <c r="A26" s="1" t="s">
        <v>155</v>
      </c>
      <c r="B26" s="1">
        <v>1.3613415E7</v>
      </c>
      <c r="D26" s="1">
        <v>77215.0</v>
      </c>
      <c r="E26" s="1">
        <v>124971.0</v>
      </c>
      <c r="F26" s="1">
        <v>1119.06</v>
      </c>
      <c r="G26" s="1">
        <v>55.2</v>
      </c>
      <c r="H26" s="1">
        <v>244.0</v>
      </c>
      <c r="I26" s="1">
        <v>4.0</v>
      </c>
      <c r="J26" s="1">
        <v>4.0</v>
      </c>
      <c r="K26" s="1">
        <v>12.0</v>
      </c>
      <c r="L26" s="1" t="b">
        <v>1</v>
      </c>
      <c r="M26" s="1" t="b">
        <v>0</v>
      </c>
      <c r="N26" s="1" t="b">
        <v>1</v>
      </c>
      <c r="O26" s="1" t="b">
        <v>1</v>
      </c>
      <c r="P26" s="1" t="b">
        <v>1</v>
      </c>
      <c r="Q26" s="1" t="b">
        <v>0</v>
      </c>
      <c r="R26" s="1" t="b">
        <v>0</v>
      </c>
      <c r="S26" s="1" t="s">
        <v>51</v>
      </c>
      <c r="T26" s="1" t="s">
        <v>65</v>
      </c>
      <c r="U26" s="1" t="s">
        <v>53</v>
      </c>
      <c r="V26" s="1">
        <v>4.9</v>
      </c>
      <c r="W26" s="1">
        <v>8.0</v>
      </c>
      <c r="X26" s="1">
        <v>4.0</v>
      </c>
      <c r="Y26" s="1">
        <v>1.0</v>
      </c>
      <c r="Z26" s="1" t="s">
        <v>54</v>
      </c>
      <c r="AA26" s="1" t="b">
        <v>0</v>
      </c>
      <c r="AB26" s="1">
        <v>499.0</v>
      </c>
      <c r="AC26" s="1" t="b">
        <v>0</v>
      </c>
      <c r="AD26" s="1">
        <v>69.0</v>
      </c>
      <c r="AE26" s="1">
        <v>10.0</v>
      </c>
      <c r="AF26" s="3">
        <v>46159.0</v>
      </c>
      <c r="AG26" s="1" t="s">
        <v>55</v>
      </c>
      <c r="AH26" s="1" t="s">
        <v>56</v>
      </c>
      <c r="AI26" s="1" t="s">
        <v>56</v>
      </c>
      <c r="AJ26" s="1" t="s">
        <v>58</v>
      </c>
      <c r="AK26" s="1">
        <v>81623.0</v>
      </c>
      <c r="AL26" s="1" t="s">
        <v>59</v>
      </c>
      <c r="AM26" s="1" t="s">
        <v>60</v>
      </c>
      <c r="AN26" s="4" t="s">
        <v>156</v>
      </c>
      <c r="AO26" s="4" t="s">
        <v>157</v>
      </c>
      <c r="AP26" s="1" t="s">
        <v>158</v>
      </c>
      <c r="AQ26" s="1">
        <v>4589822.0</v>
      </c>
      <c r="AR26" s="1">
        <v>39.4183163657</v>
      </c>
      <c r="AS26" s="1">
        <v>-107.1183418813</v>
      </c>
      <c r="AT26" s="5">
        <f t="shared" si="1"/>
        <v>41.81394958</v>
      </c>
      <c r="AU26" s="5">
        <f t="shared" si="2"/>
        <v>44185.20588</v>
      </c>
      <c r="AV26" s="5">
        <f t="shared" si="3"/>
        <v>-0.320133605</v>
      </c>
      <c r="AW26" s="5">
        <f t="shared" si="4"/>
        <v>-0.7475306148</v>
      </c>
      <c r="AX26" s="5">
        <f t="shared" si="5"/>
        <v>-33029.79412</v>
      </c>
    </row>
    <row r="27">
      <c r="A27" s="1" t="s">
        <v>159</v>
      </c>
      <c r="B27" s="1">
        <v>5.2110734E7</v>
      </c>
      <c r="D27" s="1">
        <v>74881.0</v>
      </c>
      <c r="E27" s="1">
        <v>88223.0</v>
      </c>
      <c r="F27" s="1">
        <v>398.3</v>
      </c>
      <c r="G27" s="1">
        <v>61.84</v>
      </c>
      <c r="H27" s="1">
        <v>304.0</v>
      </c>
      <c r="I27" s="1">
        <v>2.0</v>
      </c>
      <c r="J27" s="1">
        <v>2.0</v>
      </c>
      <c r="K27" s="1">
        <v>5.0</v>
      </c>
      <c r="L27" s="1" t="b">
        <v>0</v>
      </c>
      <c r="M27" s="1" t="b">
        <v>0</v>
      </c>
      <c r="N27" s="1" t="b">
        <v>1</v>
      </c>
      <c r="O27" s="1" t="b">
        <v>1</v>
      </c>
      <c r="P27" s="1" t="b">
        <v>1</v>
      </c>
      <c r="Q27" s="1" t="b">
        <v>0</v>
      </c>
      <c r="R27" s="1" t="b">
        <v>0</v>
      </c>
      <c r="S27" s="1" t="s">
        <v>51</v>
      </c>
      <c r="T27" s="1" t="s">
        <v>65</v>
      </c>
      <c r="U27" s="1" t="s">
        <v>53</v>
      </c>
      <c r="V27" s="1">
        <v>5.0</v>
      </c>
      <c r="W27" s="1">
        <v>202.0</v>
      </c>
      <c r="X27" s="1">
        <v>4.0</v>
      </c>
      <c r="Y27" s="2">
        <v>46058.0</v>
      </c>
      <c r="Z27" s="1" t="s">
        <v>54</v>
      </c>
      <c r="AA27" s="1" t="b">
        <v>0</v>
      </c>
      <c r="AB27" s="1">
        <v>275.0</v>
      </c>
      <c r="AC27" s="1" t="b">
        <v>0</v>
      </c>
      <c r="AD27" s="1">
        <v>188.0</v>
      </c>
      <c r="AE27" s="1">
        <v>40.0</v>
      </c>
      <c r="AF27" s="3">
        <v>46159.0</v>
      </c>
      <c r="AG27" s="1" t="s">
        <v>55</v>
      </c>
      <c r="AH27" s="1" t="s">
        <v>56</v>
      </c>
      <c r="AI27" s="1" t="s">
        <v>56</v>
      </c>
      <c r="AJ27" s="1" t="s">
        <v>58</v>
      </c>
      <c r="AK27" s="1">
        <v>81623.0</v>
      </c>
      <c r="AL27" s="1" t="s">
        <v>59</v>
      </c>
      <c r="AM27" s="1" t="s">
        <v>60</v>
      </c>
      <c r="AN27" s="4" t="s">
        <v>160</v>
      </c>
      <c r="AO27" s="4" t="s">
        <v>161</v>
      </c>
      <c r="AP27" s="1">
        <v>3.3021464E7</v>
      </c>
      <c r="AR27" s="1">
        <v>39.17874</v>
      </c>
      <c r="AS27" s="1">
        <v>-107.24343</v>
      </c>
      <c r="AT27" s="5">
        <f t="shared" si="1"/>
        <v>41.81394958</v>
      </c>
      <c r="AU27" s="5">
        <f t="shared" si="2"/>
        <v>44185.20588</v>
      </c>
      <c r="AV27" s="5">
        <f t="shared" si="3"/>
        <v>-0.4789322851</v>
      </c>
      <c r="AW27" s="5">
        <f t="shared" si="4"/>
        <v>-0.6947075046</v>
      </c>
      <c r="AX27" s="5">
        <f t="shared" si="5"/>
        <v>-30695.79412</v>
      </c>
    </row>
    <row r="28">
      <c r="A28" s="1" t="s">
        <v>162</v>
      </c>
      <c r="B28" s="1" t="s">
        <v>98</v>
      </c>
      <c r="D28" s="1">
        <v>71182.0</v>
      </c>
      <c r="E28" s="1">
        <v>85473.0</v>
      </c>
      <c r="F28" s="1">
        <v>423.7</v>
      </c>
      <c r="G28" s="1">
        <v>59.57</v>
      </c>
      <c r="H28" s="1">
        <v>292.0</v>
      </c>
      <c r="I28" s="1">
        <v>3.0</v>
      </c>
      <c r="J28" s="1">
        <v>3.0</v>
      </c>
      <c r="K28" s="1">
        <v>6.0</v>
      </c>
      <c r="L28" s="1" t="b">
        <v>1</v>
      </c>
      <c r="M28" s="1" t="b">
        <v>0</v>
      </c>
      <c r="N28" s="1" t="b">
        <v>0</v>
      </c>
      <c r="O28" s="1" t="b">
        <v>1</v>
      </c>
      <c r="P28" s="1" t="b">
        <v>0</v>
      </c>
      <c r="Q28" s="1" t="b">
        <v>1</v>
      </c>
      <c r="R28" s="1" t="b">
        <v>0</v>
      </c>
      <c r="S28" s="1" t="s">
        <v>51</v>
      </c>
      <c r="T28" s="1" t="s">
        <v>163</v>
      </c>
      <c r="U28" s="1" t="s">
        <v>164</v>
      </c>
      <c r="V28" s="1">
        <v>4.95</v>
      </c>
      <c r="W28" s="1">
        <v>38.0</v>
      </c>
      <c r="X28" s="1">
        <v>3.0</v>
      </c>
      <c r="Y28" s="1" t="s">
        <v>71</v>
      </c>
      <c r="Z28" s="1" t="s">
        <v>54</v>
      </c>
      <c r="AA28" s="1" t="b">
        <v>1</v>
      </c>
      <c r="AB28" s="1">
        <v>275.0</v>
      </c>
      <c r="AC28" s="1" t="b">
        <v>0</v>
      </c>
      <c r="AD28" s="1">
        <v>168.0</v>
      </c>
      <c r="AE28" s="1">
        <v>41.0</v>
      </c>
      <c r="AF28" s="3">
        <v>46155.0</v>
      </c>
      <c r="AG28" s="1" t="s">
        <v>55</v>
      </c>
      <c r="AH28" s="1" t="s">
        <v>56</v>
      </c>
      <c r="AI28" s="1" t="s">
        <v>56</v>
      </c>
      <c r="AJ28" s="1" t="s">
        <v>58</v>
      </c>
      <c r="AK28" s="1">
        <v>81623.0</v>
      </c>
      <c r="AL28" s="1" t="s">
        <v>59</v>
      </c>
      <c r="AM28" s="1" t="s">
        <v>60</v>
      </c>
      <c r="AN28" s="4" t="s">
        <v>165</v>
      </c>
      <c r="AO28" s="4" t="s">
        <v>166</v>
      </c>
      <c r="AP28" s="1" t="s">
        <v>167</v>
      </c>
      <c r="AQ28" s="1">
        <v>4237698.0</v>
      </c>
      <c r="AR28" s="1">
        <v>39.3994113868</v>
      </c>
      <c r="AS28" s="1">
        <v>-107.2130656602</v>
      </c>
      <c r="AT28" s="5">
        <f t="shared" si="1"/>
        <v>41.81394958</v>
      </c>
      <c r="AU28" s="5">
        <f t="shared" si="2"/>
        <v>44185.20588</v>
      </c>
      <c r="AV28" s="5">
        <f t="shared" si="3"/>
        <v>-0.4246441821</v>
      </c>
      <c r="AW28" s="5">
        <f t="shared" si="4"/>
        <v>-0.6109917014</v>
      </c>
      <c r="AX28" s="5">
        <f t="shared" si="5"/>
        <v>-26996.79412</v>
      </c>
    </row>
    <row r="29">
      <c r="A29" s="1" t="s">
        <v>168</v>
      </c>
      <c r="B29" s="1" t="s">
        <v>98</v>
      </c>
      <c r="D29" s="1">
        <v>70753.0</v>
      </c>
      <c r="E29" s="1">
        <v>88744.0</v>
      </c>
      <c r="F29" s="1">
        <v>395.27</v>
      </c>
      <c r="G29" s="1">
        <v>57.19</v>
      </c>
      <c r="H29" s="1">
        <v>314.0</v>
      </c>
      <c r="I29" s="1">
        <v>2.0</v>
      </c>
      <c r="J29" s="1">
        <v>2.0</v>
      </c>
      <c r="K29" s="1">
        <v>6.0</v>
      </c>
      <c r="L29" s="1" t="b">
        <v>1</v>
      </c>
      <c r="M29" s="1" t="b">
        <v>0</v>
      </c>
      <c r="N29" s="1" t="b">
        <v>0</v>
      </c>
      <c r="O29" s="1" t="b">
        <v>1</v>
      </c>
      <c r="P29" s="1" t="b">
        <v>0</v>
      </c>
      <c r="Q29" s="1" t="b">
        <v>0</v>
      </c>
      <c r="R29" s="1" t="b">
        <v>0</v>
      </c>
      <c r="S29" s="1" t="s">
        <v>51</v>
      </c>
      <c r="T29" s="1" t="s">
        <v>65</v>
      </c>
      <c r="U29" s="1" t="s">
        <v>53</v>
      </c>
      <c r="V29" s="1">
        <v>4.9</v>
      </c>
      <c r="W29" s="1">
        <v>34.0</v>
      </c>
      <c r="X29" s="1">
        <v>3.0</v>
      </c>
      <c r="Y29" s="1" t="s">
        <v>71</v>
      </c>
      <c r="Z29" s="1" t="s">
        <v>54</v>
      </c>
      <c r="AA29" s="1" t="b">
        <v>1</v>
      </c>
      <c r="AB29" s="1">
        <v>265.0</v>
      </c>
      <c r="AC29" s="1" t="b">
        <v>0</v>
      </c>
      <c r="AD29" s="1">
        <v>179.0</v>
      </c>
      <c r="AE29" s="1">
        <v>50.0</v>
      </c>
      <c r="AF29" s="3">
        <v>46155.0</v>
      </c>
      <c r="AG29" s="1" t="s">
        <v>55</v>
      </c>
      <c r="AH29" s="1" t="s">
        <v>56</v>
      </c>
      <c r="AI29" s="1" t="s">
        <v>56</v>
      </c>
      <c r="AJ29" s="1" t="s">
        <v>58</v>
      </c>
      <c r="AK29" s="1">
        <v>81623.0</v>
      </c>
      <c r="AL29" s="1" t="s">
        <v>59</v>
      </c>
      <c r="AM29" s="1" t="s">
        <v>60</v>
      </c>
      <c r="AN29" s="4" t="s">
        <v>169</v>
      </c>
      <c r="AO29" s="4" t="s">
        <v>170</v>
      </c>
      <c r="AP29" s="1" t="s">
        <v>171</v>
      </c>
      <c r="AQ29" s="1">
        <v>4469395.0</v>
      </c>
      <c r="AR29" s="1">
        <v>39.4237820146</v>
      </c>
      <c r="AS29" s="1">
        <v>-107.1368055627</v>
      </c>
      <c r="AT29" s="5">
        <f t="shared" si="1"/>
        <v>41.81394958</v>
      </c>
      <c r="AU29" s="5">
        <f t="shared" si="2"/>
        <v>44185.20588</v>
      </c>
      <c r="AV29" s="5">
        <f t="shared" si="3"/>
        <v>-0.3677253781</v>
      </c>
      <c r="AW29" s="5">
        <f t="shared" si="4"/>
        <v>-0.6012825693</v>
      </c>
      <c r="AX29" s="5">
        <f t="shared" si="5"/>
        <v>-26567.79412</v>
      </c>
    </row>
    <row r="30">
      <c r="A30" s="1" t="s">
        <v>172</v>
      </c>
      <c r="B30" s="1">
        <v>1278574.0</v>
      </c>
      <c r="D30" s="1">
        <v>56440.0</v>
      </c>
      <c r="E30" s="1">
        <v>65008.0</v>
      </c>
      <c r="F30" s="1">
        <v>424.36</v>
      </c>
      <c r="G30" s="1">
        <v>49.08</v>
      </c>
      <c r="H30" s="1">
        <v>315.0</v>
      </c>
      <c r="I30" s="1">
        <v>2.0</v>
      </c>
      <c r="J30" s="1">
        <v>1.0</v>
      </c>
      <c r="K30" s="1">
        <v>6.0</v>
      </c>
      <c r="L30" s="1" t="b">
        <v>1</v>
      </c>
      <c r="M30" s="1" t="b">
        <v>0</v>
      </c>
      <c r="N30" s="1" t="b">
        <v>0</v>
      </c>
      <c r="O30" s="1" t="b">
        <v>1</v>
      </c>
      <c r="P30" s="1" t="b">
        <v>1</v>
      </c>
      <c r="Q30" s="1" t="b">
        <v>0</v>
      </c>
      <c r="R30" s="1" t="b">
        <v>0</v>
      </c>
      <c r="S30" s="1" t="s">
        <v>51</v>
      </c>
      <c r="T30" s="1" t="s">
        <v>65</v>
      </c>
      <c r="U30" s="1" t="s">
        <v>53</v>
      </c>
      <c r="V30" s="1">
        <v>4.95</v>
      </c>
      <c r="W30" s="1">
        <v>87.0</v>
      </c>
      <c r="X30" s="1">
        <v>30.0</v>
      </c>
      <c r="Y30" s="2">
        <v>46193.0</v>
      </c>
      <c r="Z30" s="1" t="s">
        <v>54</v>
      </c>
      <c r="AA30" s="1" t="b">
        <v>1</v>
      </c>
      <c r="AB30" s="1">
        <v>175.0</v>
      </c>
      <c r="AC30" s="1" t="b">
        <v>0</v>
      </c>
      <c r="AD30" s="1">
        <v>133.0</v>
      </c>
      <c r="AE30" s="1">
        <v>39.0</v>
      </c>
      <c r="AF30" s="3">
        <v>46155.0</v>
      </c>
      <c r="AG30" s="1" t="s">
        <v>55</v>
      </c>
      <c r="AH30" s="1" t="s">
        <v>56</v>
      </c>
      <c r="AI30" s="1" t="s">
        <v>72</v>
      </c>
      <c r="AJ30" s="1" t="s">
        <v>58</v>
      </c>
      <c r="AK30" s="1">
        <v>81621.0</v>
      </c>
      <c r="AL30" s="1" t="s">
        <v>59</v>
      </c>
      <c r="AM30" s="1" t="s">
        <v>60</v>
      </c>
      <c r="AN30" s="4" t="s">
        <v>173</v>
      </c>
      <c r="AO30" s="4" t="s">
        <v>174</v>
      </c>
      <c r="AP30" s="1" t="s">
        <v>175</v>
      </c>
      <c r="AQ30" s="1" t="s">
        <v>176</v>
      </c>
      <c r="AR30" s="1">
        <v>39.33166</v>
      </c>
      <c r="AS30" s="1">
        <v>-107.06713</v>
      </c>
      <c r="AT30" s="5">
        <f t="shared" si="1"/>
        <v>41.81394958</v>
      </c>
      <c r="AU30" s="5">
        <f t="shared" si="2"/>
        <v>44185.20588</v>
      </c>
      <c r="AV30" s="5">
        <f t="shared" si="3"/>
        <v>-0.1737709662</v>
      </c>
      <c r="AW30" s="5">
        <f t="shared" si="4"/>
        <v>-0.2773506171</v>
      </c>
      <c r="AX30" s="5">
        <f t="shared" si="5"/>
        <v>-12254.79412</v>
      </c>
    </row>
    <row r="31">
      <c r="A31" s="1" t="s">
        <v>177</v>
      </c>
      <c r="B31" s="1">
        <v>6.0392535E7</v>
      </c>
      <c r="D31" s="1">
        <v>55851.0</v>
      </c>
      <c r="E31" s="1">
        <v>104971.0</v>
      </c>
      <c r="F31" s="1">
        <v>962.95</v>
      </c>
      <c r="G31" s="1">
        <v>27.49</v>
      </c>
      <c r="H31" s="1">
        <v>261.0</v>
      </c>
      <c r="I31" s="1">
        <v>4.0</v>
      </c>
      <c r="J31" s="1">
        <v>4.0</v>
      </c>
      <c r="K31" s="1">
        <v>10.0</v>
      </c>
      <c r="L31" s="1" t="b">
        <v>1</v>
      </c>
      <c r="M31" s="1" t="b">
        <v>0</v>
      </c>
      <c r="N31" s="1" t="b">
        <v>1</v>
      </c>
      <c r="O31" s="1" t="b">
        <v>1</v>
      </c>
      <c r="P31" s="1" t="b">
        <v>1</v>
      </c>
      <c r="Q31" s="1" t="b">
        <v>1</v>
      </c>
      <c r="R31" s="1" t="b">
        <v>1</v>
      </c>
      <c r="S31" s="1" t="s">
        <v>51</v>
      </c>
      <c r="T31" s="1" t="s">
        <v>65</v>
      </c>
      <c r="U31" s="1" t="s">
        <v>53</v>
      </c>
      <c r="V31" s="1">
        <v>4.9</v>
      </c>
      <c r="W31" s="1">
        <v>23.0</v>
      </c>
      <c r="X31" s="1">
        <v>2.0</v>
      </c>
      <c r="Y31" s="1">
        <v>1.0</v>
      </c>
      <c r="Z31" s="1" t="s">
        <v>54</v>
      </c>
      <c r="AA31" s="1" t="b">
        <v>0</v>
      </c>
      <c r="AB31" s="1">
        <v>200.0</v>
      </c>
      <c r="AC31" s="1" t="b">
        <v>1</v>
      </c>
      <c r="AD31" s="1">
        <v>58.0</v>
      </c>
      <c r="AE31" s="1">
        <v>16.0</v>
      </c>
      <c r="AF31" s="3">
        <v>46155.0</v>
      </c>
      <c r="AG31" s="1" t="s">
        <v>55</v>
      </c>
      <c r="AH31" s="1" t="s">
        <v>56</v>
      </c>
      <c r="AI31" s="1" t="s">
        <v>56</v>
      </c>
      <c r="AJ31" s="1" t="s">
        <v>58</v>
      </c>
      <c r="AK31" s="1">
        <v>81623.0</v>
      </c>
      <c r="AL31" s="1" t="s">
        <v>59</v>
      </c>
      <c r="AM31" s="1" t="s">
        <v>60</v>
      </c>
      <c r="AN31" s="4" t="s">
        <v>178</v>
      </c>
      <c r="AO31" s="4" t="s">
        <v>179</v>
      </c>
      <c r="AP31" s="1" t="s">
        <v>180</v>
      </c>
      <c r="AQ31" s="1" t="s">
        <v>181</v>
      </c>
      <c r="AR31" s="1">
        <v>39.4073</v>
      </c>
      <c r="AS31" s="1">
        <v>-107.1205</v>
      </c>
      <c r="AT31" s="5">
        <f t="shared" si="1"/>
        <v>41.81394958</v>
      </c>
      <c r="AU31" s="5">
        <f t="shared" si="2"/>
        <v>44185.20588</v>
      </c>
      <c r="AV31" s="5">
        <f t="shared" si="3"/>
        <v>0.3425638985</v>
      </c>
      <c r="AW31" s="5">
        <f t="shared" si="4"/>
        <v>-0.2640203635</v>
      </c>
      <c r="AX31" s="5">
        <f t="shared" si="5"/>
        <v>-11665.79412</v>
      </c>
    </row>
    <row r="32">
      <c r="A32" s="1" t="s">
        <v>182</v>
      </c>
      <c r="B32" s="1">
        <v>1.39114997E8</v>
      </c>
      <c r="D32" s="1">
        <v>53947.0</v>
      </c>
      <c r="E32" s="1">
        <v>70929.0</v>
      </c>
      <c r="F32" s="1">
        <v>405.62</v>
      </c>
      <c r="G32" s="1">
        <v>60.18</v>
      </c>
      <c r="H32" s="1">
        <v>290.0</v>
      </c>
      <c r="I32" s="1">
        <v>2.0</v>
      </c>
      <c r="J32" s="1">
        <v>2.0</v>
      </c>
      <c r="K32" s="1">
        <v>6.0</v>
      </c>
      <c r="L32" s="1" t="b">
        <v>0</v>
      </c>
      <c r="M32" s="1" t="b">
        <v>0</v>
      </c>
      <c r="N32" s="1" t="b">
        <v>1</v>
      </c>
      <c r="O32" s="1" t="b">
        <v>1</v>
      </c>
      <c r="P32" s="1" t="b">
        <v>1</v>
      </c>
      <c r="Q32" s="1" t="b">
        <v>0</v>
      </c>
      <c r="R32" s="1" t="b">
        <v>0</v>
      </c>
      <c r="S32" s="1" t="s">
        <v>51</v>
      </c>
      <c r="T32" s="1" t="s">
        <v>137</v>
      </c>
      <c r="U32" s="1" t="s">
        <v>53</v>
      </c>
      <c r="V32" s="1">
        <v>4.95</v>
      </c>
      <c r="W32" s="1">
        <v>179.0</v>
      </c>
      <c r="X32" s="1">
        <v>4.0</v>
      </c>
      <c r="Y32" s="1">
        <v>1.0</v>
      </c>
      <c r="Z32" s="1" t="s">
        <v>54</v>
      </c>
      <c r="AA32" s="1" t="b">
        <v>1</v>
      </c>
      <c r="AB32" s="1">
        <v>151.0</v>
      </c>
      <c r="AC32" s="1" t="b">
        <v>0</v>
      </c>
      <c r="AD32" s="1">
        <v>133.0</v>
      </c>
      <c r="AE32" s="1">
        <v>21.0</v>
      </c>
      <c r="AF32" s="3">
        <v>46153.0</v>
      </c>
      <c r="AG32" s="1" t="s">
        <v>55</v>
      </c>
      <c r="AH32" s="1" t="s">
        <v>56</v>
      </c>
      <c r="AI32" s="1" t="s">
        <v>56</v>
      </c>
      <c r="AJ32" s="1" t="s">
        <v>58</v>
      </c>
      <c r="AK32" s="1">
        <v>81623.0</v>
      </c>
      <c r="AL32" s="1" t="s">
        <v>59</v>
      </c>
      <c r="AM32" s="1" t="s">
        <v>60</v>
      </c>
      <c r="AN32" s="4" t="s">
        <v>183</v>
      </c>
      <c r="AO32" s="4" t="s">
        <v>184</v>
      </c>
      <c r="AP32" s="1">
        <v>2.0177266E7</v>
      </c>
      <c r="AR32" s="1">
        <v>39.18635</v>
      </c>
      <c r="AS32" s="1">
        <v>-107.23688</v>
      </c>
      <c r="AT32" s="5">
        <f t="shared" si="1"/>
        <v>41.81394958</v>
      </c>
      <c r="AU32" s="5">
        <f t="shared" si="2"/>
        <v>44185.20588</v>
      </c>
      <c r="AV32" s="5">
        <f t="shared" si="3"/>
        <v>-0.4392326151</v>
      </c>
      <c r="AW32" s="5">
        <f t="shared" si="4"/>
        <v>-0.2209290174</v>
      </c>
      <c r="AX32" s="5">
        <f t="shared" si="5"/>
        <v>-9761.794118</v>
      </c>
    </row>
    <row r="33">
      <c r="A33" s="1" t="s">
        <v>185</v>
      </c>
      <c r="B33" s="1">
        <v>5.76570691E8</v>
      </c>
      <c r="D33" s="1">
        <v>53288.0</v>
      </c>
      <c r="E33" s="1">
        <v>56800.0</v>
      </c>
      <c r="F33" s="1">
        <v>222.96</v>
      </c>
      <c r="G33" s="1">
        <v>72.21</v>
      </c>
      <c r="H33" s="1">
        <v>331.0</v>
      </c>
      <c r="I33" s="1">
        <v>1.0</v>
      </c>
      <c r="J33" s="1">
        <v>1.0</v>
      </c>
      <c r="K33" s="1">
        <v>2.0</v>
      </c>
      <c r="L33" s="1" t="b">
        <v>0</v>
      </c>
      <c r="M33" s="1" t="b">
        <v>0</v>
      </c>
      <c r="N33" s="1" t="b">
        <v>0</v>
      </c>
      <c r="O33" s="1" t="b">
        <v>1</v>
      </c>
      <c r="P33" s="1" t="b">
        <v>1</v>
      </c>
      <c r="Q33" s="1" t="b">
        <v>0</v>
      </c>
      <c r="R33" s="1" t="b">
        <v>0</v>
      </c>
      <c r="S33" s="1" t="s">
        <v>51</v>
      </c>
      <c r="T33" s="1" t="s">
        <v>163</v>
      </c>
      <c r="U33" s="1" t="s">
        <v>164</v>
      </c>
      <c r="V33" s="1">
        <v>4.95</v>
      </c>
      <c r="W33" s="1">
        <v>54.0</v>
      </c>
      <c r="X33" s="1">
        <v>3.0</v>
      </c>
      <c r="Y33" s="1">
        <v>1.0</v>
      </c>
      <c r="Z33" s="1" t="s">
        <v>54</v>
      </c>
      <c r="AA33" s="1" t="b">
        <v>1</v>
      </c>
      <c r="AB33" s="1">
        <v>150.0</v>
      </c>
      <c r="AC33" s="1" t="b">
        <v>0</v>
      </c>
      <c r="AD33" s="1">
        <v>239.0</v>
      </c>
      <c r="AE33" s="1">
        <v>34.0</v>
      </c>
      <c r="AF33" s="3">
        <v>46153.0</v>
      </c>
      <c r="AG33" s="1" t="s">
        <v>55</v>
      </c>
      <c r="AH33" s="1" t="s">
        <v>56</v>
      </c>
      <c r="AI33" s="1" t="s">
        <v>72</v>
      </c>
      <c r="AJ33" s="1" t="s">
        <v>58</v>
      </c>
      <c r="AK33" s="1">
        <v>81621.0</v>
      </c>
      <c r="AL33" s="1" t="s">
        <v>59</v>
      </c>
      <c r="AM33" s="1" t="s">
        <v>60</v>
      </c>
      <c r="AN33" s="4" t="s">
        <v>186</v>
      </c>
      <c r="AO33" s="4" t="s">
        <v>187</v>
      </c>
      <c r="AP33" s="1" t="s">
        <v>188</v>
      </c>
      <c r="AQ33" s="1">
        <v>3987160.0</v>
      </c>
      <c r="AR33" s="1">
        <v>39.365</v>
      </c>
      <c r="AS33" s="1">
        <v>-107.032</v>
      </c>
      <c r="AT33" s="5">
        <f t="shared" si="1"/>
        <v>41.81394958</v>
      </c>
      <c r="AU33" s="5">
        <f t="shared" si="2"/>
        <v>44185.20588</v>
      </c>
      <c r="AV33" s="5">
        <f t="shared" si="3"/>
        <v>-0.7269356453</v>
      </c>
      <c r="AW33" s="5">
        <f t="shared" si="4"/>
        <v>-0.2060145231</v>
      </c>
      <c r="AX33" s="5">
        <f t="shared" si="5"/>
        <v>-9102.794118</v>
      </c>
    </row>
    <row r="34">
      <c r="A34" s="1" t="s">
        <v>189</v>
      </c>
      <c r="B34" s="1" t="s">
        <v>190</v>
      </c>
      <c r="D34" s="1">
        <v>51588.0</v>
      </c>
      <c r="E34" s="1">
        <v>59868.0</v>
      </c>
      <c r="F34" s="1">
        <v>384.99</v>
      </c>
      <c r="G34" s="1">
        <v>46.05</v>
      </c>
      <c r="H34" s="1">
        <v>317.0</v>
      </c>
      <c r="I34" s="1">
        <v>2.0</v>
      </c>
      <c r="J34" s="1">
        <v>2.0</v>
      </c>
      <c r="K34" s="1">
        <v>6.0</v>
      </c>
      <c r="L34" s="1" t="b">
        <v>1</v>
      </c>
      <c r="M34" s="1" t="b">
        <v>0</v>
      </c>
      <c r="N34" s="1" t="b">
        <v>0</v>
      </c>
      <c r="O34" s="1" t="b">
        <v>1</v>
      </c>
      <c r="P34" s="1" t="b">
        <v>1</v>
      </c>
      <c r="Q34" s="1" t="b">
        <v>0</v>
      </c>
      <c r="R34" s="1" t="b">
        <v>0</v>
      </c>
      <c r="S34" s="1" t="s">
        <v>51</v>
      </c>
      <c r="T34" s="1" t="s">
        <v>163</v>
      </c>
      <c r="U34" s="1" t="s">
        <v>164</v>
      </c>
      <c r="V34" s="1">
        <v>4.9</v>
      </c>
      <c r="W34" s="1">
        <v>71.0</v>
      </c>
      <c r="X34" s="1">
        <v>3.0</v>
      </c>
      <c r="Y34" s="1" t="s">
        <v>71</v>
      </c>
      <c r="Z34" s="1" t="s">
        <v>54</v>
      </c>
      <c r="AA34" s="1" t="b">
        <v>1</v>
      </c>
      <c r="AB34" s="1">
        <v>209.0</v>
      </c>
      <c r="AC34" s="1" t="b">
        <v>1</v>
      </c>
      <c r="AD34" s="1">
        <v>134.0</v>
      </c>
      <c r="AE34" s="1">
        <v>32.0</v>
      </c>
      <c r="AF34" s="3">
        <v>46155.0</v>
      </c>
      <c r="AG34" s="1" t="s">
        <v>55</v>
      </c>
      <c r="AH34" s="1" t="s">
        <v>56</v>
      </c>
      <c r="AI34" s="1" t="s">
        <v>56</v>
      </c>
      <c r="AJ34" s="1" t="s">
        <v>58</v>
      </c>
      <c r="AK34" s="1">
        <v>81623.0</v>
      </c>
      <c r="AL34" s="1" t="s">
        <v>59</v>
      </c>
      <c r="AM34" s="1" t="s">
        <v>60</v>
      </c>
      <c r="AN34" s="4" t="s">
        <v>191</v>
      </c>
      <c r="AO34" s="4" t="s">
        <v>192</v>
      </c>
      <c r="AP34" s="1">
        <v>5.3771631E7</v>
      </c>
      <c r="AQ34" s="1">
        <v>2573150.0</v>
      </c>
      <c r="AR34" s="1">
        <v>39.41101</v>
      </c>
      <c r="AS34" s="1">
        <v>-107.22549</v>
      </c>
      <c r="AT34" s="5">
        <f t="shared" si="1"/>
        <v>41.81394958</v>
      </c>
      <c r="AU34" s="5">
        <f t="shared" si="2"/>
        <v>44185.20588</v>
      </c>
      <c r="AV34" s="5">
        <f t="shared" si="3"/>
        <v>-0.1013071107</v>
      </c>
      <c r="AW34" s="5">
        <f t="shared" si="4"/>
        <v>-0.1675401069</v>
      </c>
      <c r="AX34" s="5">
        <f t="shared" si="5"/>
        <v>-7402.794118</v>
      </c>
    </row>
    <row r="35">
      <c r="A35" s="1" t="s">
        <v>193</v>
      </c>
      <c r="B35" s="1" t="s">
        <v>98</v>
      </c>
      <c r="D35" s="1">
        <v>51515.0</v>
      </c>
      <c r="E35" s="1">
        <v>53106.0</v>
      </c>
      <c r="F35" s="1">
        <v>216.45</v>
      </c>
      <c r="G35" s="1">
        <v>67.04</v>
      </c>
      <c r="H35" s="1">
        <v>355.0</v>
      </c>
      <c r="I35" s="1">
        <v>1.0</v>
      </c>
      <c r="J35" s="1">
        <v>1.0</v>
      </c>
      <c r="K35" s="1">
        <v>2.0</v>
      </c>
      <c r="L35" s="1" t="b">
        <v>0</v>
      </c>
      <c r="M35" s="1" t="b">
        <v>0</v>
      </c>
      <c r="N35" s="1" t="b">
        <v>0</v>
      </c>
      <c r="O35" s="1" t="b">
        <v>0</v>
      </c>
      <c r="P35" s="1" t="b">
        <v>1</v>
      </c>
      <c r="Q35" s="1" t="b">
        <v>1</v>
      </c>
      <c r="R35" s="1" t="b">
        <v>0</v>
      </c>
      <c r="S35" s="1" t="s">
        <v>51</v>
      </c>
      <c r="T35" s="1" t="s">
        <v>137</v>
      </c>
      <c r="U35" s="1" t="s">
        <v>53</v>
      </c>
      <c r="V35" s="1">
        <v>4.7</v>
      </c>
      <c r="W35" s="1">
        <v>170.0</v>
      </c>
      <c r="X35" s="1">
        <v>2.0</v>
      </c>
      <c r="Y35" s="1" t="s">
        <v>71</v>
      </c>
      <c r="Z35" s="1" t="s">
        <v>54</v>
      </c>
      <c r="AA35" s="1" t="b">
        <v>1</v>
      </c>
      <c r="AB35" s="1">
        <v>150.0</v>
      </c>
      <c r="AC35" s="1" t="b">
        <v>0</v>
      </c>
      <c r="AD35" s="1">
        <v>238.0</v>
      </c>
      <c r="AE35" s="1">
        <v>52.0</v>
      </c>
      <c r="AF35" s="3">
        <v>46082.0</v>
      </c>
      <c r="AG35" s="1" t="s">
        <v>55</v>
      </c>
      <c r="AH35" s="1" t="s">
        <v>56</v>
      </c>
      <c r="AI35" s="1" t="s">
        <v>56</v>
      </c>
      <c r="AJ35" s="1" t="s">
        <v>58</v>
      </c>
      <c r="AK35" s="1">
        <v>81623.0</v>
      </c>
      <c r="AL35" s="1" t="s">
        <v>59</v>
      </c>
      <c r="AM35" s="1" t="s">
        <v>60</v>
      </c>
      <c r="AN35" s="4" t="s">
        <v>194</v>
      </c>
      <c r="AO35" s="4" t="s">
        <v>195</v>
      </c>
      <c r="AP35" s="1">
        <v>5.3958463E7</v>
      </c>
      <c r="AQ35" s="1">
        <v>2592938.0</v>
      </c>
      <c r="AR35" s="1">
        <v>39.40001</v>
      </c>
      <c r="AS35" s="1">
        <v>-107.20916</v>
      </c>
      <c r="AT35" s="5">
        <f t="shared" si="1"/>
        <v>41.81394958</v>
      </c>
      <c r="AU35" s="5">
        <f t="shared" si="2"/>
        <v>44185.20588</v>
      </c>
      <c r="AV35" s="5">
        <f t="shared" si="3"/>
        <v>-0.6032926971</v>
      </c>
      <c r="AW35" s="5">
        <f t="shared" si="4"/>
        <v>-0.1658879702</v>
      </c>
      <c r="AX35" s="5">
        <f t="shared" si="5"/>
        <v>-7329.794118</v>
      </c>
    </row>
    <row r="36">
      <c r="A36" s="1" t="s">
        <v>196</v>
      </c>
      <c r="B36" s="1">
        <v>4.51829889E8</v>
      </c>
      <c r="D36" s="1">
        <v>51360.0</v>
      </c>
      <c r="E36" s="1">
        <v>123153.0</v>
      </c>
      <c r="F36" s="1">
        <v>969.06</v>
      </c>
      <c r="G36" s="1">
        <v>96.36</v>
      </c>
      <c r="H36" s="1">
        <v>78.0</v>
      </c>
      <c r="I36" s="1">
        <v>4.0</v>
      </c>
      <c r="J36" s="1">
        <v>2.0</v>
      </c>
      <c r="K36" s="1">
        <v>8.0</v>
      </c>
      <c r="L36" s="1" t="b">
        <v>1</v>
      </c>
      <c r="M36" s="1" t="b">
        <v>0</v>
      </c>
      <c r="N36" s="1" t="b">
        <v>1</v>
      </c>
      <c r="O36" s="1" t="b">
        <v>1</v>
      </c>
      <c r="P36" s="1" t="b">
        <v>1</v>
      </c>
      <c r="Q36" s="1" t="b">
        <v>1</v>
      </c>
      <c r="R36" s="1" t="b">
        <v>0</v>
      </c>
      <c r="S36" s="1" t="s">
        <v>51</v>
      </c>
      <c r="T36" s="1" t="s">
        <v>65</v>
      </c>
      <c r="U36" s="1" t="s">
        <v>53</v>
      </c>
      <c r="V36" s="1">
        <v>4.6</v>
      </c>
      <c r="W36" s="1">
        <v>18.0</v>
      </c>
      <c r="X36" s="1">
        <v>4.0</v>
      </c>
      <c r="Y36" s="2">
        <v>46058.0</v>
      </c>
      <c r="Z36" s="1" t="s">
        <v>54</v>
      </c>
      <c r="AA36" s="1" t="b">
        <v>0</v>
      </c>
      <c r="AB36" s="1">
        <v>302.0</v>
      </c>
      <c r="AC36" s="1" t="b">
        <v>1</v>
      </c>
      <c r="AD36" s="1">
        <v>53.0</v>
      </c>
      <c r="AE36" s="1">
        <v>5.0</v>
      </c>
      <c r="AF36" s="3">
        <v>46155.0</v>
      </c>
      <c r="AG36" s="1" t="s">
        <v>55</v>
      </c>
      <c r="AH36" s="1" t="s">
        <v>56</v>
      </c>
      <c r="AI36" s="1" t="s">
        <v>57</v>
      </c>
      <c r="AJ36" s="1" t="s">
        <v>58</v>
      </c>
      <c r="AK36" s="1">
        <v>81654.0</v>
      </c>
      <c r="AL36" s="1" t="s">
        <v>59</v>
      </c>
      <c r="AM36" s="1" t="s">
        <v>60</v>
      </c>
      <c r="AN36" s="4" t="s">
        <v>197</v>
      </c>
      <c r="AO36" s="4" t="s">
        <v>198</v>
      </c>
      <c r="AP36" s="1" t="s">
        <v>199</v>
      </c>
      <c r="AQ36" s="1">
        <v>3245523.0</v>
      </c>
      <c r="AR36" s="1">
        <v>39.31397</v>
      </c>
      <c r="AS36" s="1">
        <v>-106.98196</v>
      </c>
      <c r="AT36" s="5">
        <f t="shared" si="1"/>
        <v>41.81394958</v>
      </c>
      <c r="AU36" s="5">
        <f t="shared" si="2"/>
        <v>44185.20588</v>
      </c>
      <c r="AV36" s="5">
        <f t="shared" si="3"/>
        <v>-1.304494098</v>
      </c>
      <c r="AW36" s="5">
        <f t="shared" si="4"/>
        <v>-0.1623800087</v>
      </c>
      <c r="AX36" s="5">
        <f t="shared" si="5"/>
        <v>-7174.794118</v>
      </c>
    </row>
    <row r="37">
      <c r="A37" s="1" t="s">
        <v>200</v>
      </c>
      <c r="B37" s="1" t="s">
        <v>201</v>
      </c>
      <c r="D37" s="1">
        <v>47210.0</v>
      </c>
      <c r="E37" s="1">
        <v>50079.0</v>
      </c>
      <c r="F37" s="1">
        <v>365.97</v>
      </c>
      <c r="G37" s="1">
        <v>47.43</v>
      </c>
      <c r="H37" s="1">
        <v>323.0</v>
      </c>
      <c r="I37" s="1">
        <v>1.0</v>
      </c>
      <c r="J37" s="1">
        <v>1.0</v>
      </c>
      <c r="K37" s="1">
        <v>3.0</v>
      </c>
      <c r="L37" s="1" t="b">
        <v>0</v>
      </c>
      <c r="M37" s="1" t="b">
        <v>0</v>
      </c>
      <c r="N37" s="1" t="b">
        <v>0</v>
      </c>
      <c r="O37" s="1" t="b">
        <v>1</v>
      </c>
      <c r="P37" s="1" t="b">
        <v>1</v>
      </c>
      <c r="Q37" s="1" t="b">
        <v>1</v>
      </c>
      <c r="R37" s="1" t="b">
        <v>0</v>
      </c>
      <c r="S37" s="1" t="s">
        <v>51</v>
      </c>
      <c r="T37" s="1" t="s">
        <v>202</v>
      </c>
      <c r="U37" s="1" t="s">
        <v>53</v>
      </c>
      <c r="V37" s="1">
        <v>4.9</v>
      </c>
      <c r="W37" s="1">
        <v>129.0</v>
      </c>
      <c r="X37" s="1">
        <v>2.0</v>
      </c>
      <c r="Y37" s="2">
        <v>46193.0</v>
      </c>
      <c r="Z37" s="1" t="s">
        <v>54</v>
      </c>
      <c r="AA37" s="1" t="b">
        <v>1</v>
      </c>
      <c r="AB37" s="1">
        <v>150.0</v>
      </c>
      <c r="AC37" s="1" t="b">
        <v>0</v>
      </c>
      <c r="AD37" s="1">
        <v>129.0</v>
      </c>
      <c r="AE37" s="1">
        <v>42.0</v>
      </c>
      <c r="AF37" s="3">
        <v>46155.0</v>
      </c>
      <c r="AG37" s="1" t="s">
        <v>55</v>
      </c>
      <c r="AH37" s="1" t="s">
        <v>56</v>
      </c>
      <c r="AI37" s="1" t="s">
        <v>72</v>
      </c>
      <c r="AJ37" s="1" t="s">
        <v>58</v>
      </c>
      <c r="AK37" s="1">
        <v>81621.0</v>
      </c>
      <c r="AL37" s="1" t="s">
        <v>59</v>
      </c>
      <c r="AM37" s="1" t="s">
        <v>60</v>
      </c>
      <c r="AN37" s="4" t="s">
        <v>203</v>
      </c>
      <c r="AO37" s="4" t="s">
        <v>204</v>
      </c>
      <c r="AP37" s="1">
        <v>5.3940244E7</v>
      </c>
      <c r="AQ37" s="1">
        <v>2778113.0</v>
      </c>
      <c r="AR37" s="1">
        <v>39.3455</v>
      </c>
      <c r="AS37" s="1">
        <v>-107.00761</v>
      </c>
      <c r="AT37" s="5">
        <f t="shared" si="1"/>
        <v>41.81394958</v>
      </c>
      <c r="AU37" s="5">
        <f t="shared" si="2"/>
        <v>44185.20588</v>
      </c>
      <c r="AV37" s="5">
        <f t="shared" si="3"/>
        <v>-0.1343104509</v>
      </c>
      <c r="AW37" s="5">
        <f t="shared" si="4"/>
        <v>-0.06845716925</v>
      </c>
      <c r="AX37" s="5">
        <f t="shared" si="5"/>
        <v>-3024.794118</v>
      </c>
    </row>
    <row r="38">
      <c r="A38" s="1" t="s">
        <v>205</v>
      </c>
      <c r="D38" s="1">
        <v>44051.0</v>
      </c>
      <c r="E38" s="1">
        <v>99332.0</v>
      </c>
      <c r="F38" s="1">
        <v>917.73</v>
      </c>
      <c r="G38" s="1">
        <v>46.15</v>
      </c>
      <c r="H38" s="1">
        <v>172.0</v>
      </c>
      <c r="I38" s="1">
        <v>4.0</v>
      </c>
      <c r="J38" s="1">
        <v>2.0</v>
      </c>
      <c r="K38" s="1">
        <v>12.0</v>
      </c>
      <c r="L38" s="1" t="b">
        <v>1</v>
      </c>
      <c r="M38" s="1" t="b">
        <v>0</v>
      </c>
      <c r="N38" s="1" t="b">
        <v>0</v>
      </c>
      <c r="O38" s="1" t="b">
        <v>1</v>
      </c>
      <c r="P38" s="1" t="b">
        <v>1</v>
      </c>
      <c r="Q38" s="1" t="b">
        <v>0</v>
      </c>
      <c r="R38" s="1" t="b">
        <v>0</v>
      </c>
      <c r="S38" s="1" t="s">
        <v>51</v>
      </c>
      <c r="T38" s="1" t="s">
        <v>65</v>
      </c>
      <c r="U38" s="1" t="s">
        <v>53</v>
      </c>
      <c r="V38" s="1">
        <v>5.0</v>
      </c>
      <c r="W38" s="1">
        <v>105.0</v>
      </c>
      <c r="X38" s="1">
        <v>3.0</v>
      </c>
      <c r="Y38" s="1">
        <v>1.0</v>
      </c>
      <c r="Z38" s="1" t="s">
        <v>54</v>
      </c>
      <c r="AA38" s="1" t="b">
        <v>0</v>
      </c>
      <c r="AB38" s="1">
        <v>300.0</v>
      </c>
      <c r="AC38" s="1" t="b">
        <v>0</v>
      </c>
      <c r="AD38" s="1">
        <v>48.0</v>
      </c>
      <c r="AE38" s="1">
        <v>11.0</v>
      </c>
      <c r="AF38" s="3">
        <v>46158.0</v>
      </c>
      <c r="AG38" s="1" t="s">
        <v>55</v>
      </c>
      <c r="AH38" s="1" t="s">
        <v>56</v>
      </c>
      <c r="AI38" s="1" t="s">
        <v>56</v>
      </c>
      <c r="AJ38" s="1" t="s">
        <v>58</v>
      </c>
      <c r="AK38" s="1">
        <v>81623.0</v>
      </c>
      <c r="AL38" s="1" t="s">
        <v>59</v>
      </c>
      <c r="AM38" s="1" t="s">
        <v>60</v>
      </c>
      <c r="AN38" s="4" t="s">
        <v>206</v>
      </c>
      <c r="AO38" s="4" t="s">
        <v>207</v>
      </c>
      <c r="AQ38" s="1">
        <v>952599.0</v>
      </c>
      <c r="AR38" s="1">
        <v>39.40869</v>
      </c>
      <c r="AS38" s="1">
        <v>-107.16901</v>
      </c>
      <c r="AT38" s="5">
        <f t="shared" si="1"/>
        <v>41.81394958</v>
      </c>
      <c r="AU38" s="5">
        <f t="shared" si="2"/>
        <v>44185.20588</v>
      </c>
      <c r="AV38" s="5">
        <f t="shared" si="3"/>
        <v>-0.1036986571</v>
      </c>
      <c r="AW38" s="5">
        <f t="shared" si="4"/>
        <v>0.003037348807</v>
      </c>
      <c r="AX38" s="5">
        <f t="shared" si="5"/>
        <v>134.2058824</v>
      </c>
    </row>
    <row r="39">
      <c r="A39" s="1" t="s">
        <v>208</v>
      </c>
      <c r="B39" s="1" t="s">
        <v>98</v>
      </c>
      <c r="D39" s="1">
        <v>43825.0</v>
      </c>
      <c r="E39" s="1">
        <v>44528.0</v>
      </c>
      <c r="F39" s="1">
        <v>247.6</v>
      </c>
      <c r="G39" s="1">
        <v>54.97</v>
      </c>
      <c r="H39" s="1">
        <v>361.0</v>
      </c>
      <c r="I39" s="1">
        <v>1.0</v>
      </c>
      <c r="J39" s="1">
        <v>1.0</v>
      </c>
      <c r="K39" s="1">
        <v>2.0</v>
      </c>
      <c r="L39" s="1" t="b">
        <v>0</v>
      </c>
      <c r="M39" s="1" t="b">
        <v>0</v>
      </c>
      <c r="N39" s="1" t="b">
        <v>0</v>
      </c>
      <c r="O39" s="1" t="b">
        <v>1</v>
      </c>
      <c r="P39" s="1" t="b">
        <v>1</v>
      </c>
      <c r="Q39" s="1" t="b">
        <v>0</v>
      </c>
      <c r="R39" s="1" t="b">
        <v>0</v>
      </c>
      <c r="S39" s="1" t="s">
        <v>51</v>
      </c>
      <c r="T39" s="1" t="s">
        <v>209</v>
      </c>
      <c r="U39" s="1" t="s">
        <v>164</v>
      </c>
      <c r="V39" s="1">
        <v>4.85</v>
      </c>
      <c r="W39" s="1">
        <v>126.0</v>
      </c>
      <c r="X39" s="1">
        <v>2.0</v>
      </c>
      <c r="Y39" s="1" t="s">
        <v>71</v>
      </c>
      <c r="Z39" s="1" t="s">
        <v>54</v>
      </c>
      <c r="AA39" s="1" t="b">
        <v>1</v>
      </c>
      <c r="AB39" s="1">
        <v>152.0</v>
      </c>
      <c r="AC39" s="1" t="b">
        <v>0</v>
      </c>
      <c r="AD39" s="1">
        <v>177.0</v>
      </c>
      <c r="AE39" s="1">
        <v>45.0</v>
      </c>
      <c r="AF39" s="3">
        <v>46159.0</v>
      </c>
      <c r="AG39" s="1" t="s">
        <v>55</v>
      </c>
      <c r="AH39" s="1" t="s">
        <v>56</v>
      </c>
      <c r="AI39" s="1" t="s">
        <v>56</v>
      </c>
      <c r="AJ39" s="1" t="s">
        <v>58</v>
      </c>
      <c r="AK39" s="1">
        <v>81623.0</v>
      </c>
      <c r="AL39" s="1" t="s">
        <v>59</v>
      </c>
      <c r="AM39" s="1" t="s">
        <v>60</v>
      </c>
      <c r="AN39" s="4" t="s">
        <v>210</v>
      </c>
      <c r="AO39" s="4" t="s">
        <v>211</v>
      </c>
      <c r="AP39" s="1" t="s">
        <v>212</v>
      </c>
      <c r="AQ39" s="1">
        <v>2980017.0</v>
      </c>
      <c r="AR39" s="1">
        <v>39.40322</v>
      </c>
      <c r="AS39" s="1">
        <v>-107.21644</v>
      </c>
      <c r="AT39" s="5">
        <f t="shared" si="1"/>
        <v>41.81394958</v>
      </c>
      <c r="AU39" s="5">
        <f t="shared" si="2"/>
        <v>44185.20588</v>
      </c>
      <c r="AV39" s="5">
        <f t="shared" si="3"/>
        <v>-0.3146330484</v>
      </c>
      <c r="AW39" s="5">
        <f t="shared" si="4"/>
        <v>0.008152182957</v>
      </c>
      <c r="AX39" s="5">
        <f t="shared" si="5"/>
        <v>360.2058824</v>
      </c>
    </row>
    <row r="40">
      <c r="A40" s="1" t="s">
        <v>213</v>
      </c>
      <c r="B40" s="1" t="s">
        <v>136</v>
      </c>
      <c r="D40" s="1">
        <v>43379.0</v>
      </c>
      <c r="E40" s="1">
        <v>44380.0</v>
      </c>
      <c r="F40" s="1">
        <v>278.07</v>
      </c>
      <c r="G40" s="1">
        <v>57.56</v>
      </c>
      <c r="H40" s="1">
        <v>326.0</v>
      </c>
      <c r="I40" s="1">
        <v>1.0</v>
      </c>
      <c r="J40" s="1">
        <v>1.0</v>
      </c>
      <c r="K40" s="1">
        <v>4.0</v>
      </c>
      <c r="L40" s="1" t="b">
        <v>0</v>
      </c>
      <c r="M40" s="1" t="b">
        <v>0</v>
      </c>
      <c r="N40" s="1" t="b">
        <v>0</v>
      </c>
      <c r="O40" s="1" t="b">
        <v>0</v>
      </c>
      <c r="P40" s="1" t="b">
        <v>1</v>
      </c>
      <c r="Q40" s="1" t="b">
        <v>0</v>
      </c>
      <c r="R40" s="1" t="b">
        <v>0</v>
      </c>
      <c r="S40" s="1" t="s">
        <v>51</v>
      </c>
      <c r="T40" s="1" t="s">
        <v>137</v>
      </c>
      <c r="U40" s="1" t="s">
        <v>53</v>
      </c>
      <c r="V40" s="1">
        <v>4.75</v>
      </c>
      <c r="W40" s="1">
        <v>141.0</v>
      </c>
      <c r="X40" s="1">
        <v>4.0</v>
      </c>
      <c r="Y40" s="1" t="s">
        <v>71</v>
      </c>
      <c r="Z40" s="1" t="s">
        <v>54</v>
      </c>
      <c r="AA40" s="1" t="b">
        <v>0</v>
      </c>
      <c r="AB40" s="1">
        <v>159.0</v>
      </c>
      <c r="AC40" s="1" t="b">
        <v>1</v>
      </c>
      <c r="AD40" s="1">
        <v>156.0</v>
      </c>
      <c r="AE40" s="1">
        <v>25.0</v>
      </c>
      <c r="AF40" s="3">
        <v>46159.0</v>
      </c>
      <c r="AG40" s="1" t="s">
        <v>55</v>
      </c>
      <c r="AH40" s="1" t="s">
        <v>56</v>
      </c>
      <c r="AI40" s="1" t="s">
        <v>56</v>
      </c>
      <c r="AJ40" s="1" t="s">
        <v>58</v>
      </c>
      <c r="AK40" s="1">
        <v>81623.0</v>
      </c>
      <c r="AL40" s="1" t="s">
        <v>59</v>
      </c>
      <c r="AM40" s="1" t="s">
        <v>60</v>
      </c>
      <c r="AN40" s="4" t="s">
        <v>214</v>
      </c>
      <c r="AO40" s="4" t="s">
        <v>215</v>
      </c>
      <c r="AP40" s="1">
        <v>3.3907972E7</v>
      </c>
      <c r="AQ40" s="1">
        <v>896088.0</v>
      </c>
      <c r="AR40" s="1">
        <v>39.22602</v>
      </c>
      <c r="AS40" s="1">
        <v>-107.2237</v>
      </c>
      <c r="AT40" s="5">
        <f t="shared" si="1"/>
        <v>41.81394958</v>
      </c>
      <c r="AU40" s="5">
        <f t="shared" si="2"/>
        <v>44185.20588</v>
      </c>
      <c r="AV40" s="5">
        <f t="shared" si="3"/>
        <v>-0.3765740998</v>
      </c>
      <c r="AW40" s="5">
        <f t="shared" si="4"/>
        <v>0.0182460592</v>
      </c>
      <c r="AX40" s="5">
        <f t="shared" si="5"/>
        <v>806.2058824</v>
      </c>
    </row>
    <row r="41">
      <c r="A41" s="1" t="s">
        <v>216</v>
      </c>
      <c r="B41" s="1">
        <v>2.03587115E8</v>
      </c>
      <c r="D41" s="1">
        <v>41922.0</v>
      </c>
      <c r="E41" s="1">
        <v>46232.0</v>
      </c>
      <c r="F41" s="1">
        <v>255.62</v>
      </c>
      <c r="G41" s="1">
        <v>51.9</v>
      </c>
      <c r="H41" s="1">
        <v>342.0</v>
      </c>
      <c r="I41" s="1">
        <v>1.0</v>
      </c>
      <c r="K41" s="1">
        <v>10.0</v>
      </c>
      <c r="L41" s="1" t="b">
        <v>0</v>
      </c>
      <c r="M41" s="1" t="b">
        <v>0</v>
      </c>
      <c r="N41" s="1" t="b">
        <v>0</v>
      </c>
      <c r="O41" s="1" t="b">
        <v>1</v>
      </c>
      <c r="P41" s="1" t="b">
        <v>1</v>
      </c>
      <c r="Q41" s="1" t="b">
        <v>1</v>
      </c>
      <c r="R41" s="1" t="b">
        <v>0</v>
      </c>
      <c r="S41" s="1" t="s">
        <v>51</v>
      </c>
      <c r="T41" s="1" t="s">
        <v>137</v>
      </c>
      <c r="U41" s="1" t="s">
        <v>53</v>
      </c>
      <c r="V41" s="1">
        <v>5.0</v>
      </c>
      <c r="W41" s="1">
        <v>47.0</v>
      </c>
      <c r="X41" s="1">
        <v>2.0</v>
      </c>
      <c r="Y41" s="2">
        <v>46193.0</v>
      </c>
      <c r="Z41" s="1" t="s">
        <v>54</v>
      </c>
      <c r="AA41" s="1" t="b">
        <v>1</v>
      </c>
      <c r="AB41" s="1">
        <v>99.0</v>
      </c>
      <c r="AC41" s="1" t="b">
        <v>0</v>
      </c>
      <c r="AD41" s="1">
        <v>164.0</v>
      </c>
      <c r="AE41" s="1">
        <v>26.0</v>
      </c>
      <c r="AF41" s="3">
        <v>46155.0</v>
      </c>
      <c r="AG41" s="1" t="s">
        <v>55</v>
      </c>
      <c r="AH41" s="1" t="s">
        <v>56</v>
      </c>
      <c r="AI41" s="1" t="s">
        <v>56</v>
      </c>
      <c r="AJ41" s="1" t="s">
        <v>58</v>
      </c>
      <c r="AK41" s="1">
        <v>81623.0</v>
      </c>
      <c r="AL41" s="1" t="s">
        <v>59</v>
      </c>
      <c r="AM41" s="1" t="s">
        <v>60</v>
      </c>
      <c r="AN41" s="4" t="s">
        <v>217</v>
      </c>
      <c r="AO41" s="4" t="s">
        <v>218</v>
      </c>
      <c r="AP41" s="1" t="s">
        <v>219</v>
      </c>
      <c r="AR41" s="1">
        <v>39.32975</v>
      </c>
      <c r="AS41" s="1">
        <v>-107.22658</v>
      </c>
      <c r="AT41" s="5">
        <f t="shared" si="1"/>
        <v>41.81394958</v>
      </c>
      <c r="AU41" s="5">
        <f t="shared" si="2"/>
        <v>44185.20588</v>
      </c>
      <c r="AV41" s="5">
        <f t="shared" si="3"/>
        <v>-0.2412125743</v>
      </c>
      <c r="AW41" s="5">
        <f t="shared" si="4"/>
        <v>0.05122089707</v>
      </c>
      <c r="AX41" s="5">
        <f t="shared" si="5"/>
        <v>2263.205882</v>
      </c>
    </row>
    <row r="42">
      <c r="A42" s="1" t="s">
        <v>220</v>
      </c>
      <c r="B42" s="1">
        <v>7.912444E7</v>
      </c>
      <c r="D42" s="1">
        <v>41874.0</v>
      </c>
      <c r="E42" s="1">
        <v>75079.0</v>
      </c>
      <c r="F42" s="1">
        <v>1163.17</v>
      </c>
      <c r="G42" s="1">
        <v>28.35</v>
      </c>
      <c r="H42" s="1">
        <v>237.0</v>
      </c>
      <c r="I42" s="1">
        <v>4.0</v>
      </c>
      <c r="J42" s="1">
        <v>4.0</v>
      </c>
      <c r="K42" s="1">
        <v>6.0</v>
      </c>
      <c r="L42" s="1" t="b">
        <v>1</v>
      </c>
      <c r="M42" s="1" t="b">
        <v>0</v>
      </c>
      <c r="N42" s="1" t="b">
        <v>1</v>
      </c>
      <c r="O42" s="1" t="b">
        <v>1</v>
      </c>
      <c r="P42" s="1" t="b">
        <v>1</v>
      </c>
      <c r="Q42" s="1" t="b">
        <v>0</v>
      </c>
      <c r="R42" s="1" t="b">
        <v>0</v>
      </c>
      <c r="S42" s="1" t="s">
        <v>51</v>
      </c>
      <c r="T42" s="1" t="s">
        <v>65</v>
      </c>
      <c r="U42" s="1" t="s">
        <v>53</v>
      </c>
      <c r="V42" s="1">
        <v>5.0</v>
      </c>
      <c r="W42" s="1">
        <v>14.0</v>
      </c>
      <c r="X42" s="1">
        <v>2.0</v>
      </c>
      <c r="Y42" s="1">
        <v>1.0</v>
      </c>
      <c r="Z42" s="1" t="s">
        <v>54</v>
      </c>
      <c r="AA42" s="1" t="b">
        <v>1</v>
      </c>
      <c r="AB42" s="1">
        <v>200.0</v>
      </c>
      <c r="AC42" s="1" t="b">
        <v>0</v>
      </c>
      <c r="AD42" s="1">
        <v>36.0</v>
      </c>
      <c r="AE42" s="1">
        <v>8.0</v>
      </c>
      <c r="AF42" s="3">
        <v>46156.0</v>
      </c>
      <c r="AG42" s="1" t="s">
        <v>55</v>
      </c>
      <c r="AH42" s="1" t="s">
        <v>56</v>
      </c>
      <c r="AI42" s="1" t="s">
        <v>56</v>
      </c>
      <c r="AJ42" s="1" t="s">
        <v>58</v>
      </c>
      <c r="AK42" s="1">
        <v>81623.0</v>
      </c>
      <c r="AL42" s="1" t="s">
        <v>59</v>
      </c>
      <c r="AM42" s="1" t="s">
        <v>60</v>
      </c>
      <c r="AN42" s="4" t="s">
        <v>221</v>
      </c>
      <c r="AO42" s="4" t="s">
        <v>222</v>
      </c>
      <c r="AP42" s="1" t="s">
        <v>223</v>
      </c>
      <c r="AQ42" s="1">
        <v>3395085.0</v>
      </c>
      <c r="AR42" s="1">
        <v>39.43311</v>
      </c>
      <c r="AS42" s="1">
        <v>-107.17862</v>
      </c>
      <c r="AT42" s="5">
        <f t="shared" si="1"/>
        <v>41.81394958</v>
      </c>
      <c r="AU42" s="5">
        <f t="shared" si="2"/>
        <v>44185.20588</v>
      </c>
      <c r="AV42" s="5">
        <f t="shared" si="3"/>
        <v>0.3219965996</v>
      </c>
      <c r="AW42" s="5">
        <f t="shared" si="4"/>
        <v>0.05230723352</v>
      </c>
      <c r="AX42" s="5">
        <f t="shared" si="5"/>
        <v>2311.205882</v>
      </c>
    </row>
    <row r="43">
      <c r="A43" s="1" t="s">
        <v>224</v>
      </c>
      <c r="B43" s="1" t="s">
        <v>190</v>
      </c>
      <c r="D43" s="1">
        <v>41532.0</v>
      </c>
      <c r="E43" s="1">
        <v>56363.0</v>
      </c>
      <c r="F43" s="1">
        <v>395.54</v>
      </c>
      <c r="G43" s="1">
        <v>50.0</v>
      </c>
      <c r="H43" s="1">
        <v>272.0</v>
      </c>
      <c r="I43" s="1">
        <v>2.0</v>
      </c>
      <c r="J43" s="1">
        <v>2.0</v>
      </c>
      <c r="K43" s="1">
        <v>4.0</v>
      </c>
      <c r="L43" s="1" t="b">
        <v>0</v>
      </c>
      <c r="M43" s="1" t="b">
        <v>0</v>
      </c>
      <c r="N43" s="1" t="b">
        <v>0</v>
      </c>
      <c r="O43" s="1" t="b">
        <v>1</v>
      </c>
      <c r="P43" s="1" t="b">
        <v>1</v>
      </c>
      <c r="Q43" s="1" t="b">
        <v>1</v>
      </c>
      <c r="R43" s="1" t="b">
        <v>0</v>
      </c>
      <c r="S43" s="1" t="s">
        <v>51</v>
      </c>
      <c r="T43" s="1" t="s">
        <v>137</v>
      </c>
      <c r="U43" s="1" t="s">
        <v>53</v>
      </c>
      <c r="V43" s="1">
        <v>4.9</v>
      </c>
      <c r="W43" s="1">
        <v>195.0</v>
      </c>
      <c r="X43" s="1">
        <v>2.0</v>
      </c>
      <c r="Y43" s="1" t="s">
        <v>71</v>
      </c>
      <c r="Z43" s="1" t="s">
        <v>54</v>
      </c>
      <c r="AA43" s="1" t="b">
        <v>1</v>
      </c>
      <c r="AB43" s="1">
        <v>284.0</v>
      </c>
      <c r="AC43" s="1" t="b">
        <v>1</v>
      </c>
      <c r="AD43" s="1">
        <v>105.0</v>
      </c>
      <c r="AE43" s="1">
        <v>26.0</v>
      </c>
      <c r="AF43" s="3">
        <v>46155.0</v>
      </c>
      <c r="AG43" s="1" t="s">
        <v>55</v>
      </c>
      <c r="AH43" s="1" t="s">
        <v>56</v>
      </c>
      <c r="AI43" s="1" t="s">
        <v>56</v>
      </c>
      <c r="AJ43" s="1" t="s">
        <v>58</v>
      </c>
      <c r="AK43" s="1">
        <v>81623.0</v>
      </c>
      <c r="AL43" s="1" t="s">
        <v>59</v>
      </c>
      <c r="AM43" s="1" t="s">
        <v>60</v>
      </c>
      <c r="AN43" s="4" t="s">
        <v>225</v>
      </c>
      <c r="AO43" s="4" t="s">
        <v>226</v>
      </c>
      <c r="AP43" s="1">
        <v>1.548052E7</v>
      </c>
      <c r="AQ43" s="1">
        <v>931408.0</v>
      </c>
      <c r="AR43" s="1">
        <v>39.1622</v>
      </c>
      <c r="AS43" s="1">
        <v>-107.2485</v>
      </c>
      <c r="AT43" s="5">
        <f t="shared" si="1"/>
        <v>41.81394958</v>
      </c>
      <c r="AU43" s="5">
        <f t="shared" si="2"/>
        <v>44185.20588</v>
      </c>
      <c r="AV43" s="5">
        <f t="shared" si="3"/>
        <v>-0.195773193</v>
      </c>
      <c r="AW43" s="5">
        <f t="shared" si="4"/>
        <v>0.06004738078</v>
      </c>
      <c r="AX43" s="5">
        <f t="shared" si="5"/>
        <v>2653.205882</v>
      </c>
    </row>
    <row r="44">
      <c r="A44" s="1" t="s">
        <v>227</v>
      </c>
      <c r="B44" s="1" t="s">
        <v>136</v>
      </c>
      <c r="D44" s="1">
        <v>40578.0</v>
      </c>
      <c r="E44" s="1">
        <v>41479.0</v>
      </c>
      <c r="F44" s="1">
        <v>317.02</v>
      </c>
      <c r="G44" s="1">
        <v>47.06</v>
      </c>
      <c r="H44" s="1">
        <v>330.0</v>
      </c>
      <c r="I44" s="1">
        <v>1.0</v>
      </c>
      <c r="J44" s="1">
        <v>1.0</v>
      </c>
      <c r="K44" s="1">
        <v>4.0</v>
      </c>
      <c r="L44" s="1" t="b">
        <v>0</v>
      </c>
      <c r="M44" s="1" t="b">
        <v>0</v>
      </c>
      <c r="N44" s="1" t="b">
        <v>0</v>
      </c>
      <c r="O44" s="1" t="b">
        <v>0</v>
      </c>
      <c r="P44" s="1" t="b">
        <v>1</v>
      </c>
      <c r="Q44" s="1" t="b">
        <v>0</v>
      </c>
      <c r="R44" s="1" t="b">
        <v>0</v>
      </c>
      <c r="S44" s="1" t="s">
        <v>51</v>
      </c>
      <c r="T44" s="1" t="s">
        <v>65</v>
      </c>
      <c r="U44" s="1" t="s">
        <v>53</v>
      </c>
      <c r="V44" s="1">
        <v>4.75</v>
      </c>
      <c r="W44" s="1">
        <v>62.0</v>
      </c>
      <c r="X44" s="1">
        <v>4.0</v>
      </c>
      <c r="Y44" s="1" t="s">
        <v>71</v>
      </c>
      <c r="Z44" s="1" t="s">
        <v>54</v>
      </c>
      <c r="AA44" s="1" t="b">
        <v>0</v>
      </c>
      <c r="AB44" s="1">
        <v>159.0</v>
      </c>
      <c r="AC44" s="1" t="b">
        <v>1</v>
      </c>
      <c r="AD44" s="1">
        <v>128.0</v>
      </c>
      <c r="AE44" s="1">
        <v>17.0</v>
      </c>
      <c r="AF44" s="3">
        <v>46155.0</v>
      </c>
      <c r="AG44" s="1" t="s">
        <v>55</v>
      </c>
      <c r="AH44" s="1" t="s">
        <v>56</v>
      </c>
      <c r="AI44" s="1" t="s">
        <v>56</v>
      </c>
      <c r="AJ44" s="1" t="s">
        <v>58</v>
      </c>
      <c r="AK44" s="1">
        <v>81623.0</v>
      </c>
      <c r="AL44" s="1" t="s">
        <v>59</v>
      </c>
      <c r="AM44" s="1" t="s">
        <v>60</v>
      </c>
      <c r="AN44" s="4" t="s">
        <v>228</v>
      </c>
      <c r="AO44" s="4" t="s">
        <v>229</v>
      </c>
      <c r="AP44" s="1">
        <v>2.2576471E7</v>
      </c>
      <c r="AQ44" s="1">
        <v>1238651.0</v>
      </c>
      <c r="AR44" s="1">
        <v>39.2308</v>
      </c>
      <c r="AS44" s="1">
        <v>-107.2251</v>
      </c>
      <c r="AT44" s="5">
        <f t="shared" si="1"/>
        <v>41.81394958</v>
      </c>
      <c r="AU44" s="5">
        <f t="shared" si="2"/>
        <v>44185.20588</v>
      </c>
      <c r="AV44" s="5">
        <f t="shared" si="3"/>
        <v>-0.1254617292</v>
      </c>
      <c r="AW44" s="5">
        <f t="shared" si="4"/>
        <v>0.08163831786</v>
      </c>
      <c r="AX44" s="5">
        <f t="shared" si="5"/>
        <v>3607.205882</v>
      </c>
    </row>
    <row r="45">
      <c r="A45" s="1" t="s">
        <v>230</v>
      </c>
      <c r="B45" s="1" t="s">
        <v>136</v>
      </c>
      <c r="D45" s="1">
        <v>38457.0</v>
      </c>
      <c r="E45" s="1">
        <v>39646.0</v>
      </c>
      <c r="F45" s="1">
        <v>282.77</v>
      </c>
      <c r="G45" s="1">
        <v>49.45</v>
      </c>
      <c r="H45" s="1">
        <v>326.0</v>
      </c>
      <c r="I45" s="1">
        <v>1.0</v>
      </c>
      <c r="J45" s="1">
        <v>1.0</v>
      </c>
      <c r="K45" s="1">
        <v>4.0</v>
      </c>
      <c r="L45" s="1" t="b">
        <v>0</v>
      </c>
      <c r="M45" s="1" t="b">
        <v>0</v>
      </c>
      <c r="N45" s="1" t="b">
        <v>0</v>
      </c>
      <c r="O45" s="1" t="b">
        <v>0</v>
      </c>
      <c r="P45" s="1" t="b">
        <v>1</v>
      </c>
      <c r="Q45" s="1" t="b">
        <v>0</v>
      </c>
      <c r="R45" s="1" t="b">
        <v>0</v>
      </c>
      <c r="S45" s="1" t="s">
        <v>51</v>
      </c>
      <c r="T45" s="1" t="s">
        <v>137</v>
      </c>
      <c r="U45" s="1" t="s">
        <v>53</v>
      </c>
      <c r="V45" s="1">
        <v>4.75</v>
      </c>
      <c r="W45" s="1">
        <v>126.0</v>
      </c>
      <c r="X45" s="1">
        <v>4.0</v>
      </c>
      <c r="Y45" s="1" t="s">
        <v>71</v>
      </c>
      <c r="Z45" s="1" t="s">
        <v>54</v>
      </c>
      <c r="AA45" s="1" t="b">
        <v>0</v>
      </c>
      <c r="AB45" s="1">
        <v>172.0</v>
      </c>
      <c r="AC45" s="1" t="b">
        <v>1</v>
      </c>
      <c r="AD45" s="1">
        <v>136.0</v>
      </c>
      <c r="AE45" s="1">
        <v>19.0</v>
      </c>
      <c r="AF45" s="3">
        <v>46153.0</v>
      </c>
      <c r="AG45" s="1" t="s">
        <v>55</v>
      </c>
      <c r="AH45" s="1" t="s">
        <v>56</v>
      </c>
      <c r="AI45" s="1" t="s">
        <v>56</v>
      </c>
      <c r="AJ45" s="1" t="s">
        <v>58</v>
      </c>
      <c r="AK45" s="1">
        <v>81623.0</v>
      </c>
      <c r="AL45" s="1" t="s">
        <v>59</v>
      </c>
      <c r="AM45" s="1" t="s">
        <v>60</v>
      </c>
      <c r="AN45" s="4" t="s">
        <v>231</v>
      </c>
      <c r="AO45" s="4" t="s">
        <v>232</v>
      </c>
      <c r="AP45" s="1">
        <v>1.688769E7</v>
      </c>
      <c r="AQ45" s="1">
        <v>976220.0</v>
      </c>
      <c r="AR45" s="1">
        <v>39.22811</v>
      </c>
      <c r="AS45" s="1">
        <v>-107.22503</v>
      </c>
      <c r="AT45" s="5">
        <f t="shared" si="1"/>
        <v>41.81394958</v>
      </c>
      <c r="AU45" s="5">
        <f t="shared" si="2"/>
        <v>44185.20588</v>
      </c>
      <c r="AV45" s="5">
        <f t="shared" si="3"/>
        <v>-0.1826196879</v>
      </c>
      <c r="AW45" s="5">
        <f t="shared" si="4"/>
        <v>0.12964081</v>
      </c>
      <c r="AX45" s="5">
        <f t="shared" si="5"/>
        <v>5728.205882</v>
      </c>
    </row>
    <row r="46">
      <c r="A46" s="1" t="s">
        <v>233</v>
      </c>
      <c r="B46" s="1">
        <v>1.15515148E8</v>
      </c>
      <c r="D46" s="1">
        <v>38415.0</v>
      </c>
      <c r="E46" s="1">
        <v>40460.0</v>
      </c>
      <c r="F46" s="1">
        <v>359.02</v>
      </c>
      <c r="G46" s="1">
        <v>37.41</v>
      </c>
      <c r="H46" s="1">
        <v>316.0</v>
      </c>
      <c r="I46" s="1">
        <v>2.0</v>
      </c>
      <c r="J46" s="1">
        <v>1.0</v>
      </c>
      <c r="K46" s="1">
        <v>10.0</v>
      </c>
      <c r="L46" s="1" t="b">
        <v>0</v>
      </c>
      <c r="M46" s="1" t="b">
        <v>0</v>
      </c>
      <c r="N46" s="1" t="b">
        <v>0</v>
      </c>
      <c r="O46" s="1" t="b">
        <v>1</v>
      </c>
      <c r="P46" s="1" t="b">
        <v>1</v>
      </c>
      <c r="Q46" s="1" t="b">
        <v>1</v>
      </c>
      <c r="R46" s="1" t="b">
        <v>0</v>
      </c>
      <c r="S46" s="1" t="s">
        <v>51</v>
      </c>
      <c r="T46" s="1" t="s">
        <v>137</v>
      </c>
      <c r="U46" s="1" t="s">
        <v>53</v>
      </c>
      <c r="V46" s="1">
        <v>4.95</v>
      </c>
      <c r="W46" s="1">
        <v>155.0</v>
      </c>
      <c r="X46" s="1">
        <v>2.0</v>
      </c>
      <c r="Y46" s="2">
        <v>46058.0</v>
      </c>
      <c r="Z46" s="1" t="s">
        <v>54</v>
      </c>
      <c r="AA46" s="1" t="b">
        <v>0</v>
      </c>
      <c r="AB46" s="1">
        <v>150.0</v>
      </c>
      <c r="AC46" s="1" t="b">
        <v>0</v>
      </c>
      <c r="AD46" s="1">
        <v>107.0</v>
      </c>
      <c r="AE46" s="1">
        <v>40.0</v>
      </c>
      <c r="AF46" s="3">
        <v>44120.0</v>
      </c>
      <c r="AG46" s="1" t="s">
        <v>55</v>
      </c>
      <c r="AH46" s="1" t="s">
        <v>56</v>
      </c>
      <c r="AI46" s="1" t="s">
        <v>56</v>
      </c>
      <c r="AJ46" s="1" t="s">
        <v>58</v>
      </c>
      <c r="AK46" s="1">
        <v>81623.0</v>
      </c>
      <c r="AL46" s="1" t="s">
        <v>59</v>
      </c>
      <c r="AM46" s="1" t="s">
        <v>60</v>
      </c>
      <c r="AN46" s="4" t="s">
        <v>234</v>
      </c>
      <c r="AO46" s="4" t="s">
        <v>235</v>
      </c>
      <c r="AP46" s="1">
        <v>1.7171302E7</v>
      </c>
      <c r="AQ46" s="1">
        <v>511266.0</v>
      </c>
      <c r="AR46" s="1">
        <v>39.06587</v>
      </c>
      <c r="AS46" s="1">
        <v>-107.18277</v>
      </c>
      <c r="AT46" s="5">
        <f t="shared" si="1"/>
        <v>41.81394958</v>
      </c>
      <c r="AU46" s="5">
        <f t="shared" si="2"/>
        <v>44185.20588</v>
      </c>
      <c r="AV46" s="5">
        <f t="shared" si="3"/>
        <v>0.105322497</v>
      </c>
      <c r="AW46" s="5">
        <f t="shared" si="4"/>
        <v>0.1305913544</v>
      </c>
      <c r="AX46" s="5">
        <f t="shared" si="5"/>
        <v>5770.205882</v>
      </c>
    </row>
    <row r="47">
      <c r="A47" s="1" t="s">
        <v>236</v>
      </c>
      <c r="B47" s="1" t="s">
        <v>98</v>
      </c>
      <c r="D47" s="1">
        <v>37174.0</v>
      </c>
      <c r="E47" s="1">
        <v>43470.0</v>
      </c>
      <c r="F47" s="1">
        <v>221.27</v>
      </c>
      <c r="G47" s="1">
        <v>55.26</v>
      </c>
      <c r="H47" s="1">
        <v>305.0</v>
      </c>
      <c r="I47" s="1">
        <v>1.0</v>
      </c>
      <c r="J47" s="1">
        <v>1.0</v>
      </c>
      <c r="K47" s="1">
        <v>4.0</v>
      </c>
      <c r="L47" s="1" t="b">
        <v>0</v>
      </c>
      <c r="M47" s="1" t="b">
        <v>0</v>
      </c>
      <c r="N47" s="1" t="b">
        <v>0</v>
      </c>
      <c r="O47" s="1" t="b">
        <v>1</v>
      </c>
      <c r="P47" s="1" t="b">
        <v>0</v>
      </c>
      <c r="Q47" s="1" t="b">
        <v>1</v>
      </c>
      <c r="R47" s="1" t="b">
        <v>0</v>
      </c>
      <c r="S47" s="1" t="s">
        <v>51</v>
      </c>
      <c r="T47" s="1" t="s">
        <v>209</v>
      </c>
      <c r="U47" s="1" t="s">
        <v>164</v>
      </c>
      <c r="V47" s="1">
        <v>4.85</v>
      </c>
      <c r="W47" s="1">
        <v>176.0</v>
      </c>
      <c r="X47" s="1">
        <v>2.0</v>
      </c>
      <c r="Y47" s="1" t="s">
        <v>71</v>
      </c>
      <c r="Z47" s="1" t="s">
        <v>54</v>
      </c>
      <c r="AA47" s="1" t="b">
        <v>1</v>
      </c>
      <c r="AB47" s="1">
        <v>150.0</v>
      </c>
      <c r="AC47" s="1" t="b">
        <v>0</v>
      </c>
      <c r="AD47" s="1">
        <v>168.0</v>
      </c>
      <c r="AE47" s="1">
        <v>41.0</v>
      </c>
      <c r="AF47" s="3">
        <v>46159.0</v>
      </c>
      <c r="AG47" s="1" t="s">
        <v>55</v>
      </c>
      <c r="AH47" s="1" t="s">
        <v>56</v>
      </c>
      <c r="AI47" s="1" t="s">
        <v>56</v>
      </c>
      <c r="AJ47" s="1" t="s">
        <v>58</v>
      </c>
      <c r="AK47" s="1">
        <v>81623.0</v>
      </c>
      <c r="AL47" s="1" t="s">
        <v>59</v>
      </c>
      <c r="AM47" s="1" t="s">
        <v>60</v>
      </c>
      <c r="AN47" s="4" t="s">
        <v>237</v>
      </c>
      <c r="AO47" s="4" t="s">
        <v>238</v>
      </c>
      <c r="AP47" s="1">
        <v>4.2926254E7</v>
      </c>
      <c r="AQ47" s="1">
        <v>1945525.0</v>
      </c>
      <c r="AR47" s="1">
        <v>39.3996</v>
      </c>
      <c r="AS47" s="1">
        <v>-107.21384</v>
      </c>
      <c r="AT47" s="5">
        <f t="shared" si="1"/>
        <v>41.81394958</v>
      </c>
      <c r="AU47" s="5">
        <f t="shared" si="2"/>
        <v>44185.20588</v>
      </c>
      <c r="AV47" s="5">
        <f t="shared" si="3"/>
        <v>-0.3215685329</v>
      </c>
      <c r="AW47" s="5">
        <f t="shared" si="4"/>
        <v>0.1586776782</v>
      </c>
      <c r="AX47" s="5">
        <f t="shared" si="5"/>
        <v>7011.205882</v>
      </c>
    </row>
    <row r="48">
      <c r="A48" s="1" t="s">
        <v>239</v>
      </c>
      <c r="B48" s="1">
        <v>1.06275601E8</v>
      </c>
      <c r="D48" s="1">
        <v>34900.0</v>
      </c>
      <c r="E48" s="1">
        <v>40105.0</v>
      </c>
      <c r="F48" s="1">
        <v>471.62</v>
      </c>
      <c r="G48" s="1">
        <v>33.33</v>
      </c>
      <c r="H48" s="1">
        <v>344.0</v>
      </c>
      <c r="I48" s="1">
        <v>3.0</v>
      </c>
      <c r="J48" s="1">
        <v>3.0</v>
      </c>
      <c r="K48" s="1">
        <v>8.0</v>
      </c>
      <c r="L48" s="1" t="b">
        <v>0</v>
      </c>
      <c r="M48" s="1" t="b">
        <v>0</v>
      </c>
      <c r="N48" s="1" t="b">
        <v>0</v>
      </c>
      <c r="O48" s="1" t="b">
        <v>1</v>
      </c>
      <c r="P48" s="1" t="b">
        <v>1</v>
      </c>
      <c r="Q48" s="1" t="b">
        <v>0</v>
      </c>
      <c r="R48" s="1" t="b">
        <v>0</v>
      </c>
      <c r="S48" s="1" t="s">
        <v>51</v>
      </c>
      <c r="T48" s="1" t="s">
        <v>65</v>
      </c>
      <c r="U48" s="1" t="s">
        <v>53</v>
      </c>
      <c r="V48" s="1">
        <v>4.95</v>
      </c>
      <c r="W48" s="1">
        <v>94.0</v>
      </c>
      <c r="X48" s="1">
        <v>2.0</v>
      </c>
      <c r="Y48" s="1">
        <v>1.0</v>
      </c>
      <c r="Z48" s="1" t="s">
        <v>54</v>
      </c>
      <c r="AA48" s="1" t="b">
        <v>0</v>
      </c>
      <c r="AB48" s="1">
        <v>174.0</v>
      </c>
      <c r="AC48" s="1" t="b">
        <v>0</v>
      </c>
      <c r="AD48" s="1">
        <v>74.0</v>
      </c>
      <c r="AE48" s="1">
        <v>15.0</v>
      </c>
      <c r="AF48" s="3">
        <v>46158.0</v>
      </c>
      <c r="AG48" s="1" t="s">
        <v>55</v>
      </c>
      <c r="AH48" s="1" t="s">
        <v>56</v>
      </c>
      <c r="AI48" s="1" t="s">
        <v>56</v>
      </c>
      <c r="AJ48" s="1" t="s">
        <v>58</v>
      </c>
      <c r="AK48" s="1">
        <v>81623.0</v>
      </c>
      <c r="AL48" s="1" t="s">
        <v>59</v>
      </c>
      <c r="AM48" s="1" t="s">
        <v>60</v>
      </c>
      <c r="AN48" s="4" t="s">
        <v>240</v>
      </c>
      <c r="AO48" s="4" t="s">
        <v>241</v>
      </c>
      <c r="AP48" s="1">
        <v>3.2870275E7</v>
      </c>
      <c r="AQ48" s="1">
        <v>1899271.0</v>
      </c>
      <c r="AR48" s="1">
        <v>39.0767</v>
      </c>
      <c r="AS48" s="1">
        <v>-107.22884</v>
      </c>
      <c r="AT48" s="5">
        <f t="shared" si="1"/>
        <v>41.81394958</v>
      </c>
      <c r="AU48" s="5">
        <f t="shared" si="2"/>
        <v>44185.20588</v>
      </c>
      <c r="AV48" s="5">
        <f t="shared" si="3"/>
        <v>0.2028975896</v>
      </c>
      <c r="AW48" s="5">
        <f t="shared" si="4"/>
        <v>0.2101428679</v>
      </c>
      <c r="AX48" s="5">
        <f t="shared" si="5"/>
        <v>9285.205882</v>
      </c>
    </row>
    <row r="49">
      <c r="A49" s="1" t="s">
        <v>242</v>
      </c>
      <c r="D49" s="1">
        <v>34335.0</v>
      </c>
      <c r="E49" s="1">
        <v>39910.0</v>
      </c>
      <c r="F49" s="1">
        <v>528.23</v>
      </c>
      <c r="G49" s="1">
        <v>29.41</v>
      </c>
      <c r="H49" s="1">
        <v>338.0</v>
      </c>
      <c r="I49" s="1">
        <v>3.0</v>
      </c>
      <c r="J49" s="1">
        <v>3.0</v>
      </c>
      <c r="K49" s="1">
        <v>6.0</v>
      </c>
      <c r="L49" s="1" t="b">
        <v>1</v>
      </c>
      <c r="M49" s="1" t="b">
        <v>0</v>
      </c>
      <c r="N49" s="1" t="b">
        <v>1</v>
      </c>
      <c r="O49" s="1" t="b">
        <v>1</v>
      </c>
      <c r="P49" s="1" t="b">
        <v>1</v>
      </c>
      <c r="Q49" s="1" t="b">
        <v>0</v>
      </c>
      <c r="R49" s="1" t="b">
        <v>0</v>
      </c>
      <c r="S49" s="1" t="s">
        <v>51</v>
      </c>
      <c r="T49" s="1" t="s">
        <v>65</v>
      </c>
      <c r="U49" s="1" t="s">
        <v>53</v>
      </c>
      <c r="V49" s="1">
        <v>4.7</v>
      </c>
      <c r="W49" s="1">
        <v>6.0</v>
      </c>
      <c r="X49" s="1">
        <v>3.0</v>
      </c>
      <c r="Y49" s="1">
        <v>1.0</v>
      </c>
      <c r="Z49" s="1" t="s">
        <v>54</v>
      </c>
      <c r="AA49" s="1" t="b">
        <v>0</v>
      </c>
      <c r="AB49" s="1">
        <v>200.0</v>
      </c>
      <c r="AC49" s="1" t="b">
        <v>0</v>
      </c>
      <c r="AD49" s="1">
        <v>65.0</v>
      </c>
      <c r="AE49" s="1">
        <v>11.0</v>
      </c>
      <c r="AF49" s="3">
        <v>46157.0</v>
      </c>
      <c r="AG49" s="1" t="s">
        <v>55</v>
      </c>
      <c r="AH49" s="1" t="s">
        <v>56</v>
      </c>
      <c r="AI49" s="1" t="s">
        <v>56</v>
      </c>
      <c r="AJ49" s="1" t="s">
        <v>58</v>
      </c>
      <c r="AK49" s="1">
        <v>81623.0</v>
      </c>
      <c r="AL49" s="1" t="s">
        <v>59</v>
      </c>
      <c r="AM49" s="1" t="s">
        <v>60</v>
      </c>
      <c r="AN49" s="4" t="s">
        <v>243</v>
      </c>
      <c r="AO49" s="4" t="s">
        <v>244</v>
      </c>
      <c r="AQ49" s="1">
        <v>3043703.0</v>
      </c>
      <c r="AR49" s="1">
        <v>39.390514</v>
      </c>
      <c r="AS49" s="1">
        <v>-107.21247</v>
      </c>
      <c r="AT49" s="5">
        <f t="shared" si="1"/>
        <v>41.81394958</v>
      </c>
      <c r="AU49" s="5">
        <f t="shared" si="2"/>
        <v>44185.20588</v>
      </c>
      <c r="AV49" s="5">
        <f t="shared" si="3"/>
        <v>0.2966462079</v>
      </c>
      <c r="AW49" s="5">
        <f t="shared" si="4"/>
        <v>0.2229299533</v>
      </c>
      <c r="AX49" s="5">
        <f t="shared" si="5"/>
        <v>9850.205882</v>
      </c>
    </row>
    <row r="50">
      <c r="A50" s="1" t="s">
        <v>245</v>
      </c>
      <c r="D50" s="1">
        <v>33613.0</v>
      </c>
      <c r="E50" s="1">
        <v>50186.0</v>
      </c>
      <c r="F50" s="1">
        <v>425.48</v>
      </c>
      <c r="G50" s="1">
        <v>37.26</v>
      </c>
      <c r="H50" s="1">
        <v>294.0</v>
      </c>
      <c r="I50" s="1">
        <v>2.0</v>
      </c>
      <c r="J50" s="1">
        <v>2.0</v>
      </c>
      <c r="K50" s="1">
        <v>4.0</v>
      </c>
      <c r="L50" s="1" t="b">
        <v>1</v>
      </c>
      <c r="M50" s="1" t="b">
        <v>0</v>
      </c>
      <c r="N50" s="1" t="b">
        <v>0</v>
      </c>
      <c r="O50" s="1" t="b">
        <v>1</v>
      </c>
      <c r="P50" s="1" t="b">
        <v>1</v>
      </c>
      <c r="Q50" s="1" t="b">
        <v>0</v>
      </c>
      <c r="R50" s="1" t="b">
        <v>0</v>
      </c>
      <c r="S50" s="1" t="s">
        <v>51</v>
      </c>
      <c r="T50" s="1" t="s">
        <v>163</v>
      </c>
      <c r="U50" s="1" t="s">
        <v>164</v>
      </c>
      <c r="V50" s="1">
        <v>4.8</v>
      </c>
      <c r="W50" s="1">
        <v>55.0</v>
      </c>
      <c r="X50" s="1">
        <v>3.0</v>
      </c>
      <c r="Y50" s="1">
        <v>1.0</v>
      </c>
      <c r="Z50" s="1" t="s">
        <v>54</v>
      </c>
      <c r="AA50" s="1" t="b">
        <v>0</v>
      </c>
      <c r="AB50" s="1">
        <v>274.0</v>
      </c>
      <c r="AC50" s="1" t="b">
        <v>0</v>
      </c>
      <c r="AD50" s="1">
        <v>79.0</v>
      </c>
      <c r="AE50" s="1">
        <v>14.0</v>
      </c>
      <c r="AF50" s="3">
        <v>46155.0</v>
      </c>
      <c r="AG50" s="1" t="s">
        <v>55</v>
      </c>
      <c r="AH50" s="1" t="s">
        <v>56</v>
      </c>
      <c r="AI50" s="1" t="s">
        <v>72</v>
      </c>
      <c r="AJ50" s="1" t="s">
        <v>58</v>
      </c>
      <c r="AK50" s="1">
        <v>81621.0</v>
      </c>
      <c r="AL50" s="1" t="s">
        <v>59</v>
      </c>
      <c r="AM50" s="1" t="s">
        <v>60</v>
      </c>
      <c r="AN50" s="4" t="s">
        <v>246</v>
      </c>
      <c r="AO50" s="4" t="s">
        <v>247</v>
      </c>
      <c r="AQ50" s="1">
        <v>895558.0</v>
      </c>
      <c r="AR50" s="1">
        <v>39.365373</v>
      </c>
      <c r="AS50" s="1">
        <v>-107.032816</v>
      </c>
      <c r="AT50" s="5">
        <f t="shared" si="1"/>
        <v>41.81394958</v>
      </c>
      <c r="AU50" s="5">
        <f t="shared" si="2"/>
        <v>44185.20588</v>
      </c>
      <c r="AV50" s="5">
        <f t="shared" si="3"/>
        <v>0.1089098166</v>
      </c>
      <c r="AW50" s="5">
        <f t="shared" si="4"/>
        <v>0.2392702641</v>
      </c>
      <c r="AX50" s="5">
        <f t="shared" si="5"/>
        <v>10572.20588</v>
      </c>
    </row>
    <row r="51">
      <c r="A51" s="1" t="s">
        <v>248</v>
      </c>
      <c r="B51" s="1">
        <v>8794258.0</v>
      </c>
      <c r="D51" s="1">
        <v>33461.0</v>
      </c>
      <c r="E51" s="1">
        <v>69517.0</v>
      </c>
      <c r="F51" s="1">
        <v>760.48</v>
      </c>
      <c r="G51" s="1">
        <v>48.35</v>
      </c>
      <c r="H51" s="1">
        <v>273.0</v>
      </c>
      <c r="I51" s="1">
        <v>4.0</v>
      </c>
      <c r="J51" s="1">
        <v>3.0</v>
      </c>
      <c r="K51" s="1">
        <v>8.0</v>
      </c>
      <c r="L51" s="1" t="b">
        <v>0</v>
      </c>
      <c r="M51" s="1" t="b">
        <v>0</v>
      </c>
      <c r="N51" s="1" t="b">
        <v>0</v>
      </c>
      <c r="O51" s="1" t="b">
        <v>1</v>
      </c>
      <c r="P51" s="1" t="b">
        <v>1</v>
      </c>
      <c r="Q51" s="1" t="b">
        <v>1</v>
      </c>
      <c r="R51" s="1" t="b">
        <v>0</v>
      </c>
      <c r="S51" s="1" t="s">
        <v>51</v>
      </c>
      <c r="T51" s="1" t="s">
        <v>65</v>
      </c>
      <c r="U51" s="1" t="s">
        <v>53</v>
      </c>
      <c r="V51" s="1">
        <v>4.95</v>
      </c>
      <c r="W51" s="1">
        <v>71.0</v>
      </c>
      <c r="X51" s="1">
        <v>4.0</v>
      </c>
      <c r="Y51" s="2">
        <v>46058.0</v>
      </c>
      <c r="Z51" s="1" t="s">
        <v>54</v>
      </c>
      <c r="AA51" s="1" t="b">
        <v>1</v>
      </c>
      <c r="AB51" s="1">
        <v>321.0</v>
      </c>
      <c r="AC51" s="1" t="b">
        <v>0</v>
      </c>
      <c r="AD51" s="1">
        <v>44.0</v>
      </c>
      <c r="AE51" s="1">
        <v>7.0</v>
      </c>
      <c r="AF51" s="3">
        <v>46158.0</v>
      </c>
      <c r="AG51" s="1" t="s">
        <v>55</v>
      </c>
      <c r="AH51" s="1" t="s">
        <v>56</v>
      </c>
      <c r="AI51" s="1" t="s">
        <v>57</v>
      </c>
      <c r="AJ51" s="1" t="s">
        <v>58</v>
      </c>
      <c r="AK51" s="1">
        <v>81654.0</v>
      </c>
      <c r="AL51" s="1" t="s">
        <v>59</v>
      </c>
      <c r="AM51" s="1" t="s">
        <v>60</v>
      </c>
      <c r="AN51" s="4" t="s">
        <v>249</v>
      </c>
      <c r="AO51" s="4" t="s">
        <v>250</v>
      </c>
      <c r="AP51" s="1">
        <v>2430366.0</v>
      </c>
      <c r="AQ51" s="1">
        <v>1839941.0</v>
      </c>
      <c r="AR51" s="1">
        <v>39.3144932135</v>
      </c>
      <c r="AS51" s="1">
        <v>-106.9886418586</v>
      </c>
      <c r="AT51" s="5">
        <f t="shared" si="1"/>
        <v>41.81394958</v>
      </c>
      <c r="AU51" s="5">
        <f t="shared" si="2"/>
        <v>44185.20588</v>
      </c>
      <c r="AV51" s="5">
        <f t="shared" si="3"/>
        <v>-0.1563126776</v>
      </c>
      <c r="AW51" s="5">
        <f t="shared" si="4"/>
        <v>0.2427103296</v>
      </c>
      <c r="AX51" s="5">
        <f t="shared" si="5"/>
        <v>10724.20588</v>
      </c>
    </row>
    <row r="52">
      <c r="A52" s="1" t="s">
        <v>251</v>
      </c>
      <c r="B52" s="1" t="s">
        <v>98</v>
      </c>
      <c r="D52" s="1">
        <v>32358.0</v>
      </c>
      <c r="E52" s="1">
        <v>35802.0</v>
      </c>
      <c r="F52" s="1">
        <v>269.65</v>
      </c>
      <c r="G52" s="1">
        <v>59.41</v>
      </c>
      <c r="H52" s="1">
        <v>235.0</v>
      </c>
      <c r="I52" s="1">
        <v>1.0</v>
      </c>
      <c r="J52" s="1">
        <v>1.0</v>
      </c>
      <c r="K52" s="1">
        <v>3.0</v>
      </c>
      <c r="L52" s="1" t="b">
        <v>1</v>
      </c>
      <c r="M52" s="1" t="b">
        <v>0</v>
      </c>
      <c r="N52" s="1" t="b">
        <v>0</v>
      </c>
      <c r="O52" s="1" t="b">
        <v>1</v>
      </c>
      <c r="P52" s="1" t="b">
        <v>0</v>
      </c>
      <c r="Q52" s="1" t="b">
        <v>1</v>
      </c>
      <c r="R52" s="1" t="b">
        <v>0</v>
      </c>
      <c r="S52" s="1" t="s">
        <v>51</v>
      </c>
      <c r="T52" s="1" t="s">
        <v>209</v>
      </c>
      <c r="U52" s="1" t="s">
        <v>164</v>
      </c>
      <c r="V52" s="1">
        <v>4.85</v>
      </c>
      <c r="W52" s="1">
        <v>89.0</v>
      </c>
      <c r="X52" s="1">
        <v>3.0</v>
      </c>
      <c r="Y52" s="1" t="s">
        <v>71</v>
      </c>
      <c r="Z52" s="1" t="s">
        <v>54</v>
      </c>
      <c r="AA52" s="1" t="b">
        <v>1</v>
      </c>
      <c r="AB52" s="1">
        <v>150.0</v>
      </c>
      <c r="AC52" s="1" t="b">
        <v>0</v>
      </c>
      <c r="AD52" s="1">
        <v>120.0</v>
      </c>
      <c r="AE52" s="1">
        <v>37.0</v>
      </c>
      <c r="AF52" s="3">
        <v>46027.0</v>
      </c>
      <c r="AG52" s="1" t="s">
        <v>55</v>
      </c>
      <c r="AH52" s="1" t="s">
        <v>56</v>
      </c>
      <c r="AI52" s="1" t="s">
        <v>56</v>
      </c>
      <c r="AJ52" s="1" t="s">
        <v>58</v>
      </c>
      <c r="AK52" s="1">
        <v>81623.0</v>
      </c>
      <c r="AL52" s="1" t="s">
        <v>59</v>
      </c>
      <c r="AM52" s="1" t="s">
        <v>60</v>
      </c>
      <c r="AN52" s="4" t="s">
        <v>252</v>
      </c>
      <c r="AO52" s="4" t="s">
        <v>253</v>
      </c>
      <c r="AP52" s="1" t="s">
        <v>254</v>
      </c>
      <c r="AQ52" s="1">
        <v>2982670.0</v>
      </c>
      <c r="AR52" s="1">
        <v>39.40148</v>
      </c>
      <c r="AS52" s="1">
        <v>-107.21019</v>
      </c>
      <c r="AT52" s="5">
        <f t="shared" si="1"/>
        <v>41.81394958</v>
      </c>
      <c r="AU52" s="5">
        <f t="shared" si="2"/>
        <v>44185.20588</v>
      </c>
      <c r="AV52" s="5">
        <f t="shared" si="3"/>
        <v>-0.4208177079</v>
      </c>
      <c r="AW52" s="5">
        <f t="shared" si="4"/>
        <v>0.2676734361</v>
      </c>
      <c r="AX52" s="5">
        <f t="shared" si="5"/>
        <v>11827.20588</v>
      </c>
    </row>
    <row r="53">
      <c r="A53" s="1" t="s">
        <v>255</v>
      </c>
      <c r="B53" s="1">
        <v>3.0315555E7</v>
      </c>
      <c r="D53" s="1">
        <v>30829.0</v>
      </c>
      <c r="E53" s="1">
        <v>45876.0</v>
      </c>
      <c r="F53" s="1">
        <v>395.24</v>
      </c>
      <c r="G53" s="1">
        <v>40.21</v>
      </c>
      <c r="H53" s="1">
        <v>231.0</v>
      </c>
      <c r="I53" s="1">
        <v>2.0</v>
      </c>
      <c r="J53" s="1">
        <v>1.0</v>
      </c>
      <c r="K53" s="1">
        <v>6.0</v>
      </c>
      <c r="L53" s="1" t="b">
        <v>0</v>
      </c>
      <c r="M53" s="1" t="b">
        <v>0</v>
      </c>
      <c r="N53" s="1" t="b">
        <v>1</v>
      </c>
      <c r="O53" s="1" t="b">
        <v>1</v>
      </c>
      <c r="P53" s="1" t="b">
        <v>1</v>
      </c>
      <c r="Q53" s="1" t="b">
        <v>1</v>
      </c>
      <c r="R53" s="1" t="b">
        <v>0</v>
      </c>
      <c r="S53" s="1" t="s">
        <v>51</v>
      </c>
      <c r="T53" s="1" t="s">
        <v>256</v>
      </c>
      <c r="U53" s="1" t="s">
        <v>257</v>
      </c>
      <c r="V53" s="1">
        <v>4.85</v>
      </c>
      <c r="W53" s="1">
        <v>584.0</v>
      </c>
      <c r="X53" s="1">
        <v>2.0</v>
      </c>
      <c r="Y53" s="2">
        <v>46193.0</v>
      </c>
      <c r="Z53" s="1" t="s">
        <v>54</v>
      </c>
      <c r="AA53" s="1" t="b">
        <v>0</v>
      </c>
      <c r="AB53" s="1">
        <v>86.0</v>
      </c>
      <c r="AC53" s="1" t="b">
        <v>0</v>
      </c>
      <c r="AD53" s="1">
        <v>78.0</v>
      </c>
      <c r="AE53" s="1">
        <v>30.0</v>
      </c>
      <c r="AF53" s="3">
        <v>46158.0</v>
      </c>
      <c r="AG53" s="1" t="s">
        <v>55</v>
      </c>
      <c r="AH53" s="1" t="s">
        <v>56</v>
      </c>
      <c r="AI53" s="1" t="s">
        <v>56</v>
      </c>
      <c r="AJ53" s="1" t="s">
        <v>58</v>
      </c>
      <c r="AK53" s="1">
        <v>81623.0</v>
      </c>
      <c r="AL53" s="1" t="s">
        <v>59</v>
      </c>
      <c r="AM53" s="1" t="s">
        <v>60</v>
      </c>
      <c r="AN53" s="4" t="s">
        <v>258</v>
      </c>
      <c r="AO53" s="4" t="s">
        <v>259</v>
      </c>
      <c r="AP53" s="1">
        <v>5839043.0</v>
      </c>
      <c r="AR53" s="1">
        <v>39.46074</v>
      </c>
      <c r="AS53" s="1">
        <v>-107.20018</v>
      </c>
      <c r="AT53" s="5">
        <f t="shared" si="1"/>
        <v>41.81394958</v>
      </c>
      <c r="AU53" s="5">
        <f t="shared" si="2"/>
        <v>44185.20588</v>
      </c>
      <c r="AV53" s="5">
        <f t="shared" si="3"/>
        <v>0.03835919821</v>
      </c>
      <c r="AW53" s="5">
        <f t="shared" si="4"/>
        <v>0.3022777786</v>
      </c>
      <c r="AX53" s="5">
        <f t="shared" si="5"/>
        <v>13356.20588</v>
      </c>
    </row>
    <row r="54">
      <c r="A54" s="1" t="s">
        <v>260</v>
      </c>
      <c r="B54" s="1">
        <v>3.4780829E7</v>
      </c>
      <c r="D54" s="1">
        <v>30802.0</v>
      </c>
      <c r="E54" s="1">
        <v>35250.0</v>
      </c>
      <c r="F54" s="1">
        <v>394.9</v>
      </c>
      <c r="G54" s="1">
        <v>71.56</v>
      </c>
      <c r="H54" s="1">
        <v>166.0</v>
      </c>
      <c r="I54" s="1">
        <v>3.0</v>
      </c>
      <c r="J54" s="1">
        <v>2.0</v>
      </c>
      <c r="K54" s="1">
        <v>6.0</v>
      </c>
      <c r="L54" s="1" t="b">
        <v>1</v>
      </c>
      <c r="M54" s="1" t="b">
        <v>0</v>
      </c>
      <c r="N54" s="1" t="b">
        <v>0</v>
      </c>
      <c r="O54" s="1" t="b">
        <v>1</v>
      </c>
      <c r="P54" s="1" t="b">
        <v>1</v>
      </c>
      <c r="Q54" s="1" t="b">
        <v>0</v>
      </c>
      <c r="R54" s="1" t="b">
        <v>0</v>
      </c>
      <c r="S54" s="1" t="s">
        <v>51</v>
      </c>
      <c r="T54" s="1" t="s">
        <v>163</v>
      </c>
      <c r="U54" s="1" t="s">
        <v>164</v>
      </c>
      <c r="V54" s="1">
        <v>5.0</v>
      </c>
      <c r="W54" s="1">
        <v>2.0</v>
      </c>
      <c r="X54" s="1">
        <v>3.0</v>
      </c>
      <c r="Y54" s="1">
        <v>1.0</v>
      </c>
      <c r="Z54" s="1" t="s">
        <v>54</v>
      </c>
      <c r="AA54" s="1" t="b">
        <v>0</v>
      </c>
      <c r="AB54" s="1">
        <v>149.0</v>
      </c>
      <c r="AC54" s="1" t="b">
        <v>0</v>
      </c>
      <c r="AD54" s="1">
        <v>78.0</v>
      </c>
      <c r="AE54" s="1">
        <v>11.0</v>
      </c>
      <c r="AF54" s="3">
        <v>46155.0</v>
      </c>
      <c r="AG54" s="1" t="s">
        <v>55</v>
      </c>
      <c r="AH54" s="1" t="s">
        <v>56</v>
      </c>
      <c r="AI54" s="1" t="s">
        <v>72</v>
      </c>
      <c r="AJ54" s="1" t="s">
        <v>58</v>
      </c>
      <c r="AK54" s="1">
        <v>81621.0</v>
      </c>
      <c r="AL54" s="1" t="s">
        <v>59</v>
      </c>
      <c r="AM54" s="1" t="s">
        <v>60</v>
      </c>
      <c r="AN54" s="4" t="s">
        <v>261</v>
      </c>
      <c r="AO54" s="4" t="s">
        <v>262</v>
      </c>
      <c r="AP54" s="1" t="s">
        <v>263</v>
      </c>
      <c r="AQ54" s="1">
        <v>4938064.0</v>
      </c>
      <c r="AR54" s="1">
        <v>39.3534</v>
      </c>
      <c r="AS54" s="1">
        <v>-107.0145</v>
      </c>
      <c r="AT54" s="5">
        <f t="shared" si="1"/>
        <v>41.81394958</v>
      </c>
      <c r="AU54" s="5">
        <f t="shared" si="2"/>
        <v>44185.20588</v>
      </c>
      <c r="AV54" s="5">
        <f t="shared" si="3"/>
        <v>-0.7113905938</v>
      </c>
      <c r="AW54" s="5">
        <f t="shared" si="4"/>
        <v>0.3028888429</v>
      </c>
      <c r="AX54" s="5">
        <f t="shared" si="5"/>
        <v>13383.20588</v>
      </c>
    </row>
    <row r="55">
      <c r="A55" s="1" t="s">
        <v>264</v>
      </c>
      <c r="B55" s="1" t="s">
        <v>98</v>
      </c>
      <c r="D55" s="1">
        <v>30606.0</v>
      </c>
      <c r="E55" s="1">
        <v>77274.0</v>
      </c>
      <c r="F55" s="1">
        <v>1330.7</v>
      </c>
      <c r="G55" s="1">
        <v>60.53</v>
      </c>
      <c r="H55" s="1">
        <v>55.0</v>
      </c>
      <c r="I55" s="1">
        <v>4.0</v>
      </c>
      <c r="J55" s="1">
        <v>4.0</v>
      </c>
      <c r="K55" s="1">
        <v>10.0</v>
      </c>
      <c r="L55" s="1" t="b">
        <v>1</v>
      </c>
      <c r="M55" s="1" t="b">
        <v>0</v>
      </c>
      <c r="N55" s="1" t="b">
        <v>0</v>
      </c>
      <c r="O55" s="1" t="b">
        <v>1</v>
      </c>
      <c r="P55" s="1" t="b">
        <v>1</v>
      </c>
      <c r="Q55" s="1" t="b">
        <v>0</v>
      </c>
      <c r="R55" s="1" t="b">
        <v>1</v>
      </c>
      <c r="S55" s="1" t="s">
        <v>51</v>
      </c>
      <c r="T55" s="1" t="s">
        <v>65</v>
      </c>
      <c r="U55" s="1" t="s">
        <v>53</v>
      </c>
      <c r="V55" s="1">
        <v>4.95</v>
      </c>
      <c r="W55" s="1">
        <v>31.0</v>
      </c>
      <c r="X55" s="1">
        <v>4.0</v>
      </c>
      <c r="Y55" s="1" t="s">
        <v>71</v>
      </c>
      <c r="Z55" s="1" t="s">
        <v>54</v>
      </c>
      <c r="AA55" s="1" t="b">
        <v>1</v>
      </c>
      <c r="AB55" s="1">
        <v>576.0</v>
      </c>
      <c r="AC55" s="1" t="b">
        <v>0</v>
      </c>
      <c r="AD55" s="1">
        <v>23.0</v>
      </c>
      <c r="AE55" s="1">
        <v>4.0</v>
      </c>
      <c r="AF55" s="3">
        <v>45915.0</v>
      </c>
      <c r="AG55" s="1" t="s">
        <v>55</v>
      </c>
      <c r="AH55" s="1" t="s">
        <v>56</v>
      </c>
      <c r="AI55" s="1" t="s">
        <v>56</v>
      </c>
      <c r="AJ55" s="1" t="s">
        <v>58</v>
      </c>
      <c r="AK55" s="1">
        <v>81623.0</v>
      </c>
      <c r="AL55" s="1" t="s">
        <v>59</v>
      </c>
      <c r="AM55" s="1" t="s">
        <v>60</v>
      </c>
      <c r="AN55" s="4" t="s">
        <v>265</v>
      </c>
      <c r="AO55" s="4" t="s">
        <v>266</v>
      </c>
      <c r="AP55" s="1" t="s">
        <v>267</v>
      </c>
      <c r="AQ55" s="1">
        <v>3401155.0</v>
      </c>
      <c r="AR55" s="1">
        <v>39.40867</v>
      </c>
      <c r="AS55" s="1">
        <v>-107.12382</v>
      </c>
      <c r="AT55" s="5">
        <f t="shared" si="1"/>
        <v>41.81394958</v>
      </c>
      <c r="AU55" s="5">
        <f t="shared" si="2"/>
        <v>44185.20588</v>
      </c>
      <c r="AV55" s="5">
        <f t="shared" si="3"/>
        <v>-0.4476030274</v>
      </c>
      <c r="AW55" s="5">
        <f t="shared" si="4"/>
        <v>0.3073247168</v>
      </c>
      <c r="AX55" s="5">
        <f t="shared" si="5"/>
        <v>13579.20588</v>
      </c>
    </row>
    <row r="56">
      <c r="A56" s="1" t="s">
        <v>268</v>
      </c>
      <c r="B56" s="1">
        <v>7.6154125E7</v>
      </c>
      <c r="D56" s="1">
        <v>30570.0</v>
      </c>
      <c r="E56" s="1">
        <v>30862.0</v>
      </c>
      <c r="F56" s="1">
        <v>252.64</v>
      </c>
      <c r="G56" s="1">
        <v>46.54</v>
      </c>
      <c r="H56" s="1">
        <v>326.0</v>
      </c>
      <c r="I56" s="1">
        <v>1.0</v>
      </c>
      <c r="J56" s="1">
        <v>1.0</v>
      </c>
      <c r="K56" s="1">
        <v>2.0</v>
      </c>
      <c r="L56" s="1" t="b">
        <v>0</v>
      </c>
      <c r="M56" s="1" t="b">
        <v>1</v>
      </c>
      <c r="N56" s="1" t="b">
        <v>0</v>
      </c>
      <c r="O56" s="1" t="b">
        <v>1</v>
      </c>
      <c r="P56" s="1" t="b">
        <v>1</v>
      </c>
      <c r="Q56" s="1" t="b">
        <v>1</v>
      </c>
      <c r="R56" s="1" t="b">
        <v>0</v>
      </c>
      <c r="S56" s="1" t="s">
        <v>51</v>
      </c>
      <c r="T56" s="1" t="s">
        <v>202</v>
      </c>
      <c r="U56" s="1" t="s">
        <v>53</v>
      </c>
      <c r="V56" s="1">
        <v>4.9</v>
      </c>
      <c r="W56" s="1">
        <v>45.0</v>
      </c>
      <c r="X56" s="1">
        <v>2.0</v>
      </c>
      <c r="Y56" s="1">
        <v>1.0</v>
      </c>
      <c r="Z56" s="1" t="s">
        <v>54</v>
      </c>
      <c r="AA56" s="1" t="b">
        <v>0</v>
      </c>
      <c r="AB56" s="1">
        <v>99.0</v>
      </c>
      <c r="AC56" s="1" t="b">
        <v>0</v>
      </c>
      <c r="AD56" s="1">
        <v>121.0</v>
      </c>
      <c r="AE56" s="1">
        <v>28.0</v>
      </c>
      <c r="AF56" s="3">
        <v>46041.0</v>
      </c>
      <c r="AG56" s="1" t="s">
        <v>55</v>
      </c>
      <c r="AH56" s="1" t="s">
        <v>56</v>
      </c>
      <c r="AI56" s="1" t="s">
        <v>56</v>
      </c>
      <c r="AJ56" s="1" t="s">
        <v>58</v>
      </c>
      <c r="AK56" s="1">
        <v>81623.0</v>
      </c>
      <c r="AL56" s="1" t="s">
        <v>59</v>
      </c>
      <c r="AM56" s="1" t="s">
        <v>60</v>
      </c>
      <c r="AN56" s="4" t="s">
        <v>269</v>
      </c>
      <c r="AO56" s="4" t="s">
        <v>270</v>
      </c>
      <c r="AP56" s="1" t="s">
        <v>271</v>
      </c>
      <c r="AQ56" s="1">
        <v>3622282.0</v>
      </c>
      <c r="AR56" s="1">
        <v>39.4172</v>
      </c>
      <c r="AS56" s="1">
        <v>-107.1202</v>
      </c>
      <c r="AT56" s="5">
        <f t="shared" si="1"/>
        <v>41.81394958</v>
      </c>
      <c r="AU56" s="5">
        <f t="shared" si="2"/>
        <v>44185.20588</v>
      </c>
      <c r="AV56" s="5">
        <f t="shared" si="3"/>
        <v>-0.113025688</v>
      </c>
      <c r="AW56" s="5">
        <f t="shared" si="4"/>
        <v>0.3081394691</v>
      </c>
      <c r="AX56" s="5">
        <f t="shared" si="5"/>
        <v>13615.20588</v>
      </c>
    </row>
    <row r="57">
      <c r="A57" s="1" t="s">
        <v>272</v>
      </c>
      <c r="B57" s="1" t="s">
        <v>98</v>
      </c>
      <c r="D57" s="1">
        <v>30482.0</v>
      </c>
      <c r="E57" s="1">
        <v>32828.0</v>
      </c>
      <c r="F57" s="1">
        <v>272.16</v>
      </c>
      <c r="G57" s="1">
        <v>76.71</v>
      </c>
      <c r="H57" s="1">
        <v>149.0</v>
      </c>
      <c r="I57" s="1">
        <v>1.0</v>
      </c>
      <c r="J57" s="1">
        <v>1.0</v>
      </c>
      <c r="K57" s="1">
        <v>4.0</v>
      </c>
      <c r="L57" s="1" t="b">
        <v>0</v>
      </c>
      <c r="M57" s="1" t="b">
        <v>0</v>
      </c>
      <c r="N57" s="1" t="b">
        <v>0</v>
      </c>
      <c r="O57" s="1" t="b">
        <v>1</v>
      </c>
      <c r="P57" s="1" t="b">
        <v>0</v>
      </c>
      <c r="Q57" s="1" t="b">
        <v>0</v>
      </c>
      <c r="R57" s="1" t="b">
        <v>0</v>
      </c>
      <c r="S57" s="1" t="s">
        <v>51</v>
      </c>
      <c r="T57" s="1" t="s">
        <v>65</v>
      </c>
      <c r="U57" s="1" t="s">
        <v>53</v>
      </c>
      <c r="V57" s="1">
        <v>4.8</v>
      </c>
      <c r="W57" s="1">
        <v>258.0</v>
      </c>
      <c r="X57" s="1">
        <v>3.0</v>
      </c>
      <c r="Y57" s="1" t="s">
        <v>71</v>
      </c>
      <c r="Z57" s="1" t="s">
        <v>54</v>
      </c>
      <c r="AA57" s="1" t="b">
        <v>1</v>
      </c>
      <c r="AB57" s="1">
        <v>151.0</v>
      </c>
      <c r="AC57" s="1" t="b">
        <v>0</v>
      </c>
      <c r="AD57" s="1">
        <v>112.0</v>
      </c>
      <c r="AE57" s="1">
        <v>37.0</v>
      </c>
      <c r="AF57" s="3">
        <v>45974.0</v>
      </c>
      <c r="AG57" s="1" t="s">
        <v>55</v>
      </c>
      <c r="AH57" s="1" t="s">
        <v>56</v>
      </c>
      <c r="AI57" s="1" t="s">
        <v>56</v>
      </c>
      <c r="AJ57" s="1" t="s">
        <v>58</v>
      </c>
      <c r="AK57" s="1">
        <v>81623.0</v>
      </c>
      <c r="AL57" s="1" t="s">
        <v>59</v>
      </c>
      <c r="AM57" s="1" t="s">
        <v>60</v>
      </c>
      <c r="AN57" s="4" t="s">
        <v>273</v>
      </c>
      <c r="AO57" s="4" t="s">
        <v>274</v>
      </c>
      <c r="AP57" s="1">
        <v>3.5677191E7</v>
      </c>
      <c r="AQ57" s="1">
        <v>1598717.0</v>
      </c>
      <c r="AR57" s="1">
        <v>39.33025</v>
      </c>
      <c r="AS57" s="1">
        <v>-107.20957</v>
      </c>
      <c r="AT57" s="5">
        <f t="shared" si="1"/>
        <v>41.81394958</v>
      </c>
      <c r="AU57" s="5">
        <f t="shared" si="2"/>
        <v>44185.20588</v>
      </c>
      <c r="AV57" s="5">
        <f t="shared" si="3"/>
        <v>-0.8345552327</v>
      </c>
      <c r="AW57" s="5">
        <f t="shared" si="4"/>
        <v>0.3101310859</v>
      </c>
      <c r="AX57" s="5">
        <f t="shared" si="5"/>
        <v>13703.20588</v>
      </c>
    </row>
    <row r="58">
      <c r="A58" s="1" t="s">
        <v>275</v>
      </c>
      <c r="D58" s="1">
        <v>29185.0</v>
      </c>
      <c r="E58" s="1">
        <v>39170.0</v>
      </c>
      <c r="F58" s="1">
        <v>291.85</v>
      </c>
      <c r="G58" s="1">
        <v>64.52</v>
      </c>
      <c r="H58" s="1">
        <v>176.0</v>
      </c>
      <c r="I58" s="1">
        <v>1.0</v>
      </c>
      <c r="J58" s="1">
        <v>2.0</v>
      </c>
      <c r="K58" s="1">
        <v>2.0</v>
      </c>
      <c r="L58" s="1" t="b">
        <v>1</v>
      </c>
      <c r="M58" s="1" t="b">
        <v>0</v>
      </c>
      <c r="N58" s="1" t="b">
        <v>0</v>
      </c>
      <c r="O58" s="1" t="b">
        <v>1</v>
      </c>
      <c r="P58" s="1" t="b">
        <v>1</v>
      </c>
      <c r="Q58" s="1" t="b">
        <v>0</v>
      </c>
      <c r="R58" s="1" t="b">
        <v>0</v>
      </c>
      <c r="S58" s="1" t="s">
        <v>51</v>
      </c>
      <c r="T58" s="1" t="s">
        <v>163</v>
      </c>
      <c r="U58" s="1" t="s">
        <v>164</v>
      </c>
      <c r="V58" s="1">
        <v>4.9</v>
      </c>
      <c r="W58" s="1">
        <v>66.0</v>
      </c>
      <c r="X58" s="1">
        <v>3.0</v>
      </c>
      <c r="Y58" s="1">
        <v>1.0</v>
      </c>
      <c r="Z58" s="1" t="s">
        <v>54</v>
      </c>
      <c r="AA58" s="1" t="b">
        <v>0</v>
      </c>
      <c r="AB58" s="1">
        <v>250.0</v>
      </c>
      <c r="AC58" s="1" t="b">
        <v>1</v>
      </c>
      <c r="AD58" s="1">
        <v>100.0</v>
      </c>
      <c r="AE58" s="1">
        <v>10.0</v>
      </c>
      <c r="AF58" s="3">
        <v>46154.0</v>
      </c>
      <c r="AG58" s="1" t="s">
        <v>55</v>
      </c>
      <c r="AH58" s="1" t="s">
        <v>56</v>
      </c>
      <c r="AI58" s="1" t="s">
        <v>56</v>
      </c>
      <c r="AJ58" s="1" t="s">
        <v>58</v>
      </c>
      <c r="AK58" s="1">
        <v>81623.0</v>
      </c>
      <c r="AL58" s="1" t="s">
        <v>59</v>
      </c>
      <c r="AM58" s="1" t="s">
        <v>60</v>
      </c>
      <c r="AN58" s="4" t="s">
        <v>276</v>
      </c>
      <c r="AO58" s="4" t="s">
        <v>277</v>
      </c>
      <c r="AQ58" s="1">
        <v>417823.0</v>
      </c>
      <c r="AR58" s="1">
        <v>39.401549</v>
      </c>
      <c r="AS58" s="1">
        <v>-107.21015</v>
      </c>
      <c r="AT58" s="5">
        <f t="shared" si="1"/>
        <v>41.81394958</v>
      </c>
      <c r="AU58" s="5">
        <f t="shared" si="2"/>
        <v>44185.20588</v>
      </c>
      <c r="AV58" s="5">
        <f t="shared" si="3"/>
        <v>-0.5430257282</v>
      </c>
      <c r="AW58" s="5">
        <f t="shared" si="4"/>
        <v>0.3394848023</v>
      </c>
      <c r="AX58" s="5">
        <f t="shared" si="5"/>
        <v>15000.20588</v>
      </c>
    </row>
    <row r="59">
      <c r="A59" s="1" t="s">
        <v>278</v>
      </c>
      <c r="B59" s="1">
        <v>3.73622144E8</v>
      </c>
      <c r="D59" s="1">
        <v>28910.0</v>
      </c>
      <c r="E59" s="1">
        <v>28910.0</v>
      </c>
      <c r="F59" s="1">
        <v>545.47</v>
      </c>
      <c r="G59" s="1">
        <v>47.75</v>
      </c>
      <c r="H59" s="1">
        <v>136.0</v>
      </c>
      <c r="I59" s="1">
        <v>3.0</v>
      </c>
      <c r="J59" s="1">
        <v>3.0</v>
      </c>
      <c r="K59" s="1">
        <v>10.0</v>
      </c>
      <c r="L59" s="1" t="b">
        <v>0</v>
      </c>
      <c r="M59" s="1" t="b">
        <v>0</v>
      </c>
      <c r="N59" s="1" t="b">
        <v>0</v>
      </c>
      <c r="O59" s="1" t="b">
        <v>1</v>
      </c>
      <c r="P59" s="1" t="b">
        <v>1</v>
      </c>
      <c r="Q59" s="1" t="b">
        <v>1</v>
      </c>
      <c r="R59" s="1" t="b">
        <v>0</v>
      </c>
      <c r="S59" s="1" t="s">
        <v>51</v>
      </c>
      <c r="T59" s="1" t="s">
        <v>65</v>
      </c>
      <c r="U59" s="1" t="s">
        <v>53</v>
      </c>
      <c r="V59" s="1">
        <v>5.0</v>
      </c>
      <c r="W59" s="1">
        <v>14.0</v>
      </c>
      <c r="X59" s="1">
        <v>3.0</v>
      </c>
      <c r="Y59" s="1">
        <v>1.0</v>
      </c>
      <c r="Z59" s="1" t="s">
        <v>54</v>
      </c>
      <c r="AA59" s="1" t="b">
        <v>0</v>
      </c>
      <c r="AB59" s="1">
        <v>400.0</v>
      </c>
      <c r="AC59" s="1" t="b">
        <v>1</v>
      </c>
      <c r="AD59" s="1">
        <v>53.0</v>
      </c>
      <c r="AE59" s="1">
        <v>7.0</v>
      </c>
      <c r="AF59" s="3">
        <v>46156.0</v>
      </c>
      <c r="AG59" s="1" t="s">
        <v>55</v>
      </c>
      <c r="AH59" s="1" t="s">
        <v>56</v>
      </c>
      <c r="AI59" s="1" t="s">
        <v>56</v>
      </c>
      <c r="AJ59" s="1" t="s">
        <v>58</v>
      </c>
      <c r="AK59" s="1">
        <v>81623.0</v>
      </c>
      <c r="AL59" s="1" t="s">
        <v>59</v>
      </c>
      <c r="AM59" s="1" t="s">
        <v>60</v>
      </c>
      <c r="AN59" s="4" t="s">
        <v>279</v>
      </c>
      <c r="AO59" s="4" t="s">
        <v>280</v>
      </c>
      <c r="AP59" s="1" t="s">
        <v>281</v>
      </c>
      <c r="AQ59" s="1">
        <v>3560992.0</v>
      </c>
      <c r="AR59" s="1">
        <v>39.08185</v>
      </c>
      <c r="AS59" s="1">
        <v>-107.19197</v>
      </c>
      <c r="AT59" s="5">
        <f t="shared" si="1"/>
        <v>41.81394958</v>
      </c>
      <c r="AU59" s="5">
        <f t="shared" si="2"/>
        <v>44185.20588</v>
      </c>
      <c r="AV59" s="5">
        <f t="shared" si="3"/>
        <v>-0.1419633993</v>
      </c>
      <c r="AW59" s="5">
        <f t="shared" si="4"/>
        <v>0.3457086049</v>
      </c>
      <c r="AX59" s="5">
        <f t="shared" si="5"/>
        <v>15275.20588</v>
      </c>
    </row>
    <row r="60">
      <c r="A60" s="1" t="s">
        <v>282</v>
      </c>
      <c r="B60" s="1">
        <v>6.57195799E8</v>
      </c>
      <c r="D60" s="1">
        <v>28705.0</v>
      </c>
      <c r="E60" s="1">
        <v>28705.0</v>
      </c>
      <c r="F60" s="1">
        <v>1688.53</v>
      </c>
      <c r="G60" s="1">
        <v>14.66</v>
      </c>
      <c r="H60" s="1">
        <v>171.0</v>
      </c>
      <c r="I60" s="1">
        <v>5.0</v>
      </c>
      <c r="J60" s="1">
        <v>5.0</v>
      </c>
      <c r="K60" s="1">
        <v>12.0</v>
      </c>
      <c r="L60" s="1" t="b">
        <v>1</v>
      </c>
      <c r="M60" s="1" t="b">
        <v>0</v>
      </c>
      <c r="N60" s="1" t="b">
        <v>0</v>
      </c>
      <c r="O60" s="1" t="b">
        <v>1</v>
      </c>
      <c r="P60" s="1" t="b">
        <v>1</v>
      </c>
      <c r="Q60" s="1" t="b">
        <v>0</v>
      </c>
      <c r="R60" s="1" t="b">
        <v>0</v>
      </c>
      <c r="S60" s="1" t="s">
        <v>51</v>
      </c>
      <c r="T60" s="1" t="s">
        <v>65</v>
      </c>
      <c r="U60" s="1" t="s">
        <v>53</v>
      </c>
      <c r="V60" s="1">
        <v>5.0</v>
      </c>
      <c r="W60" s="1">
        <v>2.0</v>
      </c>
      <c r="X60" s="1">
        <v>4.0</v>
      </c>
      <c r="Y60" s="2">
        <v>46193.0</v>
      </c>
      <c r="Z60" s="1" t="s">
        <v>54</v>
      </c>
      <c r="AA60" s="1" t="b">
        <v>1</v>
      </c>
      <c r="AB60" s="1">
        <v>450.0</v>
      </c>
      <c r="AC60" s="1" t="b">
        <v>1</v>
      </c>
      <c r="AD60" s="1">
        <v>17.0</v>
      </c>
      <c r="AE60" s="1">
        <v>5.0</v>
      </c>
      <c r="AF60" s="3">
        <v>45794.0</v>
      </c>
      <c r="AG60" s="1" t="s">
        <v>55</v>
      </c>
      <c r="AH60" s="1" t="s">
        <v>56</v>
      </c>
      <c r="AI60" s="1" t="s">
        <v>72</v>
      </c>
      <c r="AJ60" s="1" t="s">
        <v>58</v>
      </c>
      <c r="AK60" s="1">
        <v>81621.0</v>
      </c>
      <c r="AL60" s="1" t="s">
        <v>59</v>
      </c>
      <c r="AM60" s="1" t="s">
        <v>60</v>
      </c>
      <c r="AN60" s="4" t="s">
        <v>283</v>
      </c>
      <c r="AO60" s="4" t="s">
        <v>284</v>
      </c>
      <c r="AP60" s="1" t="s">
        <v>285</v>
      </c>
      <c r="AQ60" s="1">
        <v>3103676.0</v>
      </c>
      <c r="AR60" s="1">
        <v>39.33391</v>
      </c>
      <c r="AS60" s="1">
        <v>-106.98542</v>
      </c>
      <c r="AT60" s="5">
        <f t="shared" si="1"/>
        <v>41.81394958</v>
      </c>
      <c r="AU60" s="5">
        <f t="shared" si="2"/>
        <v>44185.20588</v>
      </c>
      <c r="AV60" s="5">
        <f t="shared" si="3"/>
        <v>0.6493992998</v>
      </c>
      <c r="AW60" s="5">
        <f t="shared" si="4"/>
        <v>0.3503481668</v>
      </c>
      <c r="AX60" s="5">
        <f t="shared" si="5"/>
        <v>15480.20588</v>
      </c>
    </row>
    <row r="61">
      <c r="A61" s="1" t="s">
        <v>286</v>
      </c>
      <c r="B61" s="1">
        <v>937530.0</v>
      </c>
      <c r="D61" s="1">
        <v>28008.0</v>
      </c>
      <c r="E61" s="1">
        <v>36542.0</v>
      </c>
      <c r="F61" s="1">
        <v>394.48</v>
      </c>
      <c r="G61" s="1">
        <v>49.31</v>
      </c>
      <c r="H61" s="1">
        <v>307.0</v>
      </c>
      <c r="I61" s="1">
        <v>2.0</v>
      </c>
      <c r="J61" s="1">
        <v>2.0</v>
      </c>
      <c r="K61" s="1">
        <v>4.0</v>
      </c>
      <c r="L61" s="1" t="b">
        <v>1</v>
      </c>
      <c r="M61" s="1" t="b">
        <v>0</v>
      </c>
      <c r="N61" s="1" t="b">
        <v>0</v>
      </c>
      <c r="O61" s="1" t="b">
        <v>1</v>
      </c>
      <c r="P61" s="1" t="b">
        <v>1</v>
      </c>
      <c r="Q61" s="1" t="b">
        <v>0</v>
      </c>
      <c r="R61" s="1" t="b">
        <v>0</v>
      </c>
      <c r="S61" s="1" t="s">
        <v>51</v>
      </c>
      <c r="T61" s="1" t="s">
        <v>287</v>
      </c>
      <c r="U61" s="1" t="s">
        <v>164</v>
      </c>
      <c r="V61" s="1">
        <v>5.0</v>
      </c>
      <c r="W61" s="1">
        <v>31.0</v>
      </c>
      <c r="X61" s="1">
        <v>2.0</v>
      </c>
      <c r="Y61" s="1">
        <v>1.0</v>
      </c>
      <c r="Z61" s="1" t="s">
        <v>54</v>
      </c>
      <c r="AA61" s="1" t="b">
        <v>0</v>
      </c>
      <c r="AB61" s="1">
        <v>401.0</v>
      </c>
      <c r="AC61" s="1" t="b">
        <v>0</v>
      </c>
      <c r="AD61" s="1">
        <v>71.0</v>
      </c>
      <c r="AE61" s="1">
        <v>10.0</v>
      </c>
      <c r="AF61" s="3">
        <v>46155.0</v>
      </c>
      <c r="AG61" s="1" t="s">
        <v>55</v>
      </c>
      <c r="AH61" s="1" t="s">
        <v>56</v>
      </c>
      <c r="AI61" s="1" t="s">
        <v>72</v>
      </c>
      <c r="AJ61" s="1" t="s">
        <v>58</v>
      </c>
      <c r="AK61" s="1">
        <v>81621.0</v>
      </c>
      <c r="AL61" s="1" t="s">
        <v>59</v>
      </c>
      <c r="AM61" s="1" t="s">
        <v>60</v>
      </c>
      <c r="AN61" s="4" t="s">
        <v>288</v>
      </c>
      <c r="AO61" s="4" t="s">
        <v>289</v>
      </c>
      <c r="AP61" s="1" t="s">
        <v>290</v>
      </c>
      <c r="AR61" s="1">
        <v>39.35886</v>
      </c>
      <c r="AS61" s="1">
        <v>-107.03567</v>
      </c>
      <c r="AT61" s="5">
        <f t="shared" si="1"/>
        <v>41.81394958</v>
      </c>
      <c r="AU61" s="5">
        <f t="shared" si="2"/>
        <v>44185.20588</v>
      </c>
      <c r="AV61" s="5">
        <f t="shared" si="3"/>
        <v>-0.1792715229</v>
      </c>
      <c r="AW61" s="5">
        <f t="shared" si="4"/>
        <v>0.3661226775</v>
      </c>
      <c r="AX61" s="5">
        <f t="shared" si="5"/>
        <v>16177.20588</v>
      </c>
    </row>
    <row r="62">
      <c r="A62" s="1" t="s">
        <v>291</v>
      </c>
      <c r="B62" s="1" t="s">
        <v>292</v>
      </c>
      <c r="D62" s="1">
        <v>27644.0</v>
      </c>
      <c r="E62" s="1">
        <v>27644.0</v>
      </c>
      <c r="F62" s="1">
        <v>531.62</v>
      </c>
      <c r="G62" s="1">
        <v>40.62</v>
      </c>
      <c r="H62" s="1">
        <v>181.0</v>
      </c>
      <c r="I62" s="1">
        <v>3.0</v>
      </c>
      <c r="J62" s="1">
        <v>2.0</v>
      </c>
      <c r="K62" s="1">
        <v>8.0</v>
      </c>
      <c r="L62" s="1" t="b">
        <v>0</v>
      </c>
      <c r="M62" s="1" t="b">
        <v>0</v>
      </c>
      <c r="N62" s="1" t="b">
        <v>0</v>
      </c>
      <c r="O62" s="1" t="b">
        <v>1</v>
      </c>
      <c r="P62" s="1" t="b">
        <v>1</v>
      </c>
      <c r="Q62" s="1" t="b">
        <v>0</v>
      </c>
      <c r="R62" s="1" t="b">
        <v>0</v>
      </c>
      <c r="S62" s="1" t="s">
        <v>51</v>
      </c>
      <c r="T62" s="1" t="s">
        <v>65</v>
      </c>
      <c r="U62" s="1" t="s">
        <v>53</v>
      </c>
      <c r="V62" s="1">
        <v>4.9</v>
      </c>
      <c r="W62" s="1">
        <v>39.0</v>
      </c>
      <c r="X62" s="1">
        <v>4.0</v>
      </c>
      <c r="Y62" s="1">
        <v>1.0</v>
      </c>
      <c r="Z62" s="1" t="s">
        <v>54</v>
      </c>
      <c r="AA62" s="1" t="b">
        <v>0</v>
      </c>
      <c r="AB62" s="1">
        <v>415.0</v>
      </c>
      <c r="AC62" s="1" t="b">
        <v>0</v>
      </c>
      <c r="AD62" s="1">
        <v>52.0</v>
      </c>
      <c r="AE62" s="1">
        <v>12.0</v>
      </c>
      <c r="AF62" s="3">
        <v>46159.0</v>
      </c>
      <c r="AG62" s="1" t="s">
        <v>55</v>
      </c>
      <c r="AH62" s="1" t="s">
        <v>56</v>
      </c>
      <c r="AI62" s="1" t="s">
        <v>56</v>
      </c>
      <c r="AJ62" s="1" t="s">
        <v>58</v>
      </c>
      <c r="AK62" s="1">
        <v>81623.0</v>
      </c>
      <c r="AL62" s="1" t="s">
        <v>59</v>
      </c>
      <c r="AM62" s="1" t="s">
        <v>60</v>
      </c>
      <c r="AN62" s="4" t="s">
        <v>293</v>
      </c>
      <c r="AO62" s="4" t="s">
        <v>294</v>
      </c>
      <c r="AQ62" s="1">
        <v>4943735.0</v>
      </c>
      <c r="AR62" s="1">
        <v>39.38608</v>
      </c>
      <c r="AS62" s="1">
        <v>-107.20116</v>
      </c>
      <c r="AT62" s="5">
        <f t="shared" si="1"/>
        <v>41.81394958</v>
      </c>
      <c r="AU62" s="5">
        <f t="shared" si="2"/>
        <v>44185.20588</v>
      </c>
      <c r="AV62" s="5">
        <f t="shared" si="3"/>
        <v>0.02855385803</v>
      </c>
      <c r="AW62" s="5">
        <f t="shared" si="4"/>
        <v>0.3743607289</v>
      </c>
      <c r="AX62" s="5">
        <f t="shared" si="5"/>
        <v>16541.20588</v>
      </c>
    </row>
    <row r="63">
      <c r="A63" s="1" t="s">
        <v>295</v>
      </c>
      <c r="B63" s="1">
        <v>3.4291049E7</v>
      </c>
      <c r="D63" s="1">
        <v>25752.0</v>
      </c>
      <c r="E63" s="1">
        <v>29972.0</v>
      </c>
      <c r="F63" s="1">
        <v>247.62</v>
      </c>
      <c r="G63" s="1">
        <v>60.47</v>
      </c>
      <c r="H63" s="1">
        <v>173.0</v>
      </c>
      <c r="I63" s="1">
        <v>1.0</v>
      </c>
      <c r="J63" s="1">
        <v>1.0</v>
      </c>
      <c r="K63" s="1">
        <v>4.0</v>
      </c>
      <c r="L63" s="1" t="b">
        <v>0</v>
      </c>
      <c r="M63" s="1" t="b">
        <v>0</v>
      </c>
      <c r="N63" s="1" t="b">
        <v>0</v>
      </c>
      <c r="O63" s="1" t="b">
        <v>1</v>
      </c>
      <c r="P63" s="1" t="b">
        <v>1</v>
      </c>
      <c r="Q63" s="1" t="b">
        <v>1</v>
      </c>
      <c r="R63" s="1" t="b">
        <v>0</v>
      </c>
      <c r="S63" s="1" t="s">
        <v>51</v>
      </c>
      <c r="T63" s="1" t="s">
        <v>137</v>
      </c>
      <c r="U63" s="1" t="s">
        <v>53</v>
      </c>
      <c r="V63" s="1">
        <v>4.95</v>
      </c>
      <c r="W63" s="1">
        <v>88.0</v>
      </c>
      <c r="X63" s="1">
        <v>2.0</v>
      </c>
      <c r="Y63" s="2">
        <v>46058.0</v>
      </c>
      <c r="Z63" s="1" t="s">
        <v>54</v>
      </c>
      <c r="AA63" s="1" t="b">
        <v>1</v>
      </c>
      <c r="AB63" s="1">
        <v>90.0</v>
      </c>
      <c r="AC63" s="1" t="b">
        <v>1</v>
      </c>
      <c r="AD63" s="1">
        <v>104.0</v>
      </c>
      <c r="AE63" s="1">
        <v>36.0</v>
      </c>
      <c r="AF63" s="3">
        <v>46153.0</v>
      </c>
      <c r="AG63" s="1" t="s">
        <v>55</v>
      </c>
      <c r="AH63" s="1" t="s">
        <v>56</v>
      </c>
      <c r="AI63" s="1" t="s">
        <v>72</v>
      </c>
      <c r="AJ63" s="1" t="s">
        <v>58</v>
      </c>
      <c r="AK63" s="1">
        <v>81621.0</v>
      </c>
      <c r="AL63" s="1" t="s">
        <v>59</v>
      </c>
      <c r="AM63" s="1" t="s">
        <v>60</v>
      </c>
      <c r="AN63" s="4" t="s">
        <v>296</v>
      </c>
      <c r="AO63" s="4" t="s">
        <v>297</v>
      </c>
      <c r="AP63" s="1" t="s">
        <v>298</v>
      </c>
      <c r="AR63" s="1">
        <v>39.34607</v>
      </c>
      <c r="AS63" s="1">
        <v>-107.05967</v>
      </c>
      <c r="AT63" s="5">
        <f t="shared" si="1"/>
        <v>41.81394958</v>
      </c>
      <c r="AU63" s="5">
        <f t="shared" si="2"/>
        <v>44185.20588</v>
      </c>
      <c r="AV63" s="5">
        <f t="shared" si="3"/>
        <v>-0.4461680996</v>
      </c>
      <c r="AW63" s="5">
        <f t="shared" si="4"/>
        <v>0.4171804909</v>
      </c>
      <c r="AX63" s="5">
        <f t="shared" si="5"/>
        <v>18433.20588</v>
      </c>
    </row>
    <row r="64">
      <c r="A64" s="1" t="s">
        <v>299</v>
      </c>
      <c r="B64" s="1">
        <v>3.84874052E8</v>
      </c>
      <c r="D64" s="1">
        <v>25320.0</v>
      </c>
      <c r="E64" s="1">
        <v>32029.0</v>
      </c>
      <c r="F64" s="1">
        <v>844.0</v>
      </c>
      <c r="G64" s="1">
        <v>21.9</v>
      </c>
      <c r="H64" s="1">
        <v>333.0</v>
      </c>
      <c r="I64" s="1">
        <v>4.0</v>
      </c>
      <c r="J64" s="1">
        <v>3.0</v>
      </c>
      <c r="K64" s="1">
        <v>6.0</v>
      </c>
      <c r="L64" s="1" t="b">
        <v>1</v>
      </c>
      <c r="M64" s="1" t="b">
        <v>0</v>
      </c>
      <c r="N64" s="1" t="b">
        <v>0</v>
      </c>
      <c r="O64" s="1" t="b">
        <v>1</v>
      </c>
      <c r="P64" s="1" t="b">
        <v>1</v>
      </c>
      <c r="Q64" s="1" t="b">
        <v>1</v>
      </c>
      <c r="R64" s="1" t="b">
        <v>0</v>
      </c>
      <c r="S64" s="1" t="s">
        <v>51</v>
      </c>
      <c r="T64" s="1" t="s">
        <v>65</v>
      </c>
      <c r="U64" s="1" t="s">
        <v>53</v>
      </c>
      <c r="V64" s="1">
        <v>4.4</v>
      </c>
      <c r="W64" s="1">
        <v>17.0</v>
      </c>
      <c r="X64" s="1">
        <v>2.0</v>
      </c>
      <c r="Y64" s="2">
        <v>46058.0</v>
      </c>
      <c r="Z64" s="1" t="s">
        <v>54</v>
      </c>
      <c r="AA64" s="1" t="b">
        <v>0</v>
      </c>
      <c r="AB64" s="1">
        <v>300.0</v>
      </c>
      <c r="AC64" s="1" t="b">
        <v>1</v>
      </c>
      <c r="AD64" s="1">
        <v>30.0</v>
      </c>
      <c r="AE64" s="1">
        <v>10.0</v>
      </c>
      <c r="AF64" s="3">
        <v>45705.0</v>
      </c>
      <c r="AG64" s="1" t="s">
        <v>55</v>
      </c>
      <c r="AH64" s="1" t="s">
        <v>56</v>
      </c>
      <c r="AI64" s="1" t="s">
        <v>72</v>
      </c>
      <c r="AJ64" s="1" t="s">
        <v>58</v>
      </c>
      <c r="AK64" s="1">
        <v>81621.0</v>
      </c>
      <c r="AL64" s="1" t="s">
        <v>59</v>
      </c>
      <c r="AM64" s="1" t="s">
        <v>60</v>
      </c>
      <c r="AN64" s="4" t="s">
        <v>300</v>
      </c>
      <c r="AO64" s="4" t="s">
        <v>301</v>
      </c>
      <c r="AP64" s="1" t="s">
        <v>302</v>
      </c>
      <c r="AQ64" s="1">
        <v>4332790.0</v>
      </c>
      <c r="AR64" s="1">
        <v>39.3654</v>
      </c>
      <c r="AS64" s="1">
        <v>-107.0267</v>
      </c>
      <c r="AT64" s="5">
        <f t="shared" si="1"/>
        <v>41.81394958</v>
      </c>
      <c r="AU64" s="5">
        <f t="shared" si="2"/>
        <v>44185.20588</v>
      </c>
      <c r="AV64" s="5">
        <f t="shared" si="3"/>
        <v>0.4762513415</v>
      </c>
      <c r="AW64" s="5">
        <f t="shared" si="4"/>
        <v>0.4269575191</v>
      </c>
      <c r="AX64" s="5">
        <f t="shared" si="5"/>
        <v>18865.20588</v>
      </c>
    </row>
    <row r="65">
      <c r="A65" s="1" t="s">
        <v>303</v>
      </c>
      <c r="D65" s="1">
        <v>25220.0</v>
      </c>
      <c r="E65" s="1">
        <v>32992.0</v>
      </c>
      <c r="F65" s="1">
        <v>813.55</v>
      </c>
      <c r="G65" s="1">
        <v>17.71</v>
      </c>
      <c r="H65" s="1">
        <v>347.0</v>
      </c>
      <c r="I65" s="1">
        <v>3.0</v>
      </c>
      <c r="J65" s="1">
        <v>2.0</v>
      </c>
      <c r="K65" s="1">
        <v>6.0</v>
      </c>
      <c r="L65" s="1" t="b">
        <v>1</v>
      </c>
      <c r="M65" s="1" t="b">
        <v>0</v>
      </c>
      <c r="N65" s="1" t="b">
        <v>1</v>
      </c>
      <c r="O65" s="1" t="b">
        <v>1</v>
      </c>
      <c r="P65" s="1" t="b">
        <v>1</v>
      </c>
      <c r="Q65" s="1" t="b">
        <v>0</v>
      </c>
      <c r="R65" s="1" t="b">
        <v>0</v>
      </c>
      <c r="S65" s="1" t="s">
        <v>51</v>
      </c>
      <c r="T65" s="1" t="s">
        <v>65</v>
      </c>
      <c r="U65" s="1" t="s">
        <v>53</v>
      </c>
      <c r="V65" s="1">
        <v>5.0</v>
      </c>
      <c r="W65" s="1">
        <v>7.0</v>
      </c>
      <c r="X65" s="1">
        <v>3.0</v>
      </c>
      <c r="Y65" s="1">
        <v>1.0</v>
      </c>
      <c r="Z65" s="1" t="s">
        <v>54</v>
      </c>
      <c r="AA65" s="1" t="b">
        <v>0</v>
      </c>
      <c r="AB65" s="1">
        <v>300.0</v>
      </c>
      <c r="AC65" s="1" t="b">
        <v>0</v>
      </c>
      <c r="AD65" s="1">
        <v>31.0</v>
      </c>
      <c r="AE65" s="1">
        <v>9.0</v>
      </c>
      <c r="AF65" s="3">
        <v>46156.0</v>
      </c>
      <c r="AG65" s="1" t="s">
        <v>55</v>
      </c>
      <c r="AH65" s="1" t="s">
        <v>56</v>
      </c>
      <c r="AI65" s="1" t="s">
        <v>56</v>
      </c>
      <c r="AJ65" s="1" t="s">
        <v>58</v>
      </c>
      <c r="AK65" s="1">
        <v>81623.0</v>
      </c>
      <c r="AL65" s="1" t="s">
        <v>59</v>
      </c>
      <c r="AM65" s="1" t="s">
        <v>60</v>
      </c>
      <c r="AN65" s="4" t="s">
        <v>304</v>
      </c>
      <c r="AO65" s="4" t="s">
        <v>305</v>
      </c>
      <c r="AQ65" s="1">
        <v>3168327.0</v>
      </c>
      <c r="AR65" s="1">
        <v>39.452279</v>
      </c>
      <c r="AS65" s="1">
        <v>-107.150554</v>
      </c>
      <c r="AT65" s="5">
        <f t="shared" si="1"/>
        <v>41.81394958</v>
      </c>
      <c r="AU65" s="5">
        <f t="shared" si="2"/>
        <v>44185.20588</v>
      </c>
      <c r="AV65" s="5">
        <f t="shared" si="3"/>
        <v>0.576457135</v>
      </c>
      <c r="AW65" s="5">
        <f t="shared" si="4"/>
        <v>0.42922072</v>
      </c>
      <c r="AX65" s="5">
        <f t="shared" si="5"/>
        <v>18965.20588</v>
      </c>
    </row>
    <row r="66">
      <c r="A66" s="1" t="s">
        <v>306</v>
      </c>
      <c r="B66" s="1">
        <v>3.6279708E7</v>
      </c>
      <c r="D66" s="1">
        <v>24879.0</v>
      </c>
      <c r="E66" s="1">
        <v>34533.0</v>
      </c>
      <c r="F66" s="1">
        <v>310.99</v>
      </c>
      <c r="G66" s="1">
        <v>71.43</v>
      </c>
      <c r="H66" s="1">
        <v>140.0</v>
      </c>
      <c r="I66" s="1">
        <v>2.0</v>
      </c>
      <c r="J66" s="1">
        <v>2.0</v>
      </c>
      <c r="K66" s="1">
        <v>4.0</v>
      </c>
      <c r="L66" s="1" t="b">
        <v>0</v>
      </c>
      <c r="M66" s="1" t="b">
        <v>0</v>
      </c>
      <c r="N66" s="1" t="b">
        <v>0</v>
      </c>
      <c r="O66" s="1" t="b">
        <v>1</v>
      </c>
      <c r="P66" s="1" t="b">
        <v>1</v>
      </c>
      <c r="Q66" s="1" t="b">
        <v>1</v>
      </c>
      <c r="R66" s="1" t="b">
        <v>0</v>
      </c>
      <c r="S66" s="1" t="s">
        <v>51</v>
      </c>
      <c r="T66" s="1" t="s">
        <v>209</v>
      </c>
      <c r="U66" s="1" t="s">
        <v>164</v>
      </c>
      <c r="V66" s="1">
        <v>5.0</v>
      </c>
      <c r="W66" s="1">
        <v>9.0</v>
      </c>
      <c r="X66" s="1">
        <v>3.0</v>
      </c>
      <c r="Y66" s="2">
        <v>46193.0</v>
      </c>
      <c r="Z66" s="1" t="s">
        <v>54</v>
      </c>
      <c r="AA66" s="1" t="b">
        <v>1</v>
      </c>
      <c r="AB66" s="1">
        <v>176.0</v>
      </c>
      <c r="AC66" s="1" t="b">
        <v>0</v>
      </c>
      <c r="AD66" s="1">
        <v>80.0</v>
      </c>
      <c r="AE66" s="1">
        <v>21.0</v>
      </c>
      <c r="AF66" s="3">
        <v>46155.0</v>
      </c>
      <c r="AG66" s="1" t="s">
        <v>55</v>
      </c>
      <c r="AH66" s="1" t="s">
        <v>56</v>
      </c>
      <c r="AI66" s="1" t="s">
        <v>56</v>
      </c>
      <c r="AJ66" s="1" t="s">
        <v>58</v>
      </c>
      <c r="AK66" s="1">
        <v>81623.0</v>
      </c>
      <c r="AL66" s="1" t="s">
        <v>59</v>
      </c>
      <c r="AM66" s="1" t="s">
        <v>60</v>
      </c>
      <c r="AN66" s="4" t="s">
        <v>307</v>
      </c>
      <c r="AO66" s="4" t="s">
        <v>308</v>
      </c>
      <c r="AP66" s="1" t="s">
        <v>309</v>
      </c>
      <c r="AR66" s="1">
        <v>39.4085</v>
      </c>
      <c r="AS66" s="1">
        <v>-107.1652</v>
      </c>
      <c r="AT66" s="5">
        <f t="shared" si="1"/>
        <v>41.81394958</v>
      </c>
      <c r="AU66" s="5">
        <f t="shared" si="2"/>
        <v>44185.20588</v>
      </c>
      <c r="AV66" s="5">
        <f t="shared" si="3"/>
        <v>-0.7082815835</v>
      </c>
      <c r="AW66" s="5">
        <f t="shared" si="4"/>
        <v>0.4369382352</v>
      </c>
      <c r="AX66" s="5">
        <f t="shared" si="5"/>
        <v>19306.20588</v>
      </c>
    </row>
    <row r="67">
      <c r="A67" s="1" t="s">
        <v>310</v>
      </c>
      <c r="B67" s="1" t="s">
        <v>190</v>
      </c>
      <c r="D67" s="1">
        <v>24500.0</v>
      </c>
      <c r="E67" s="1">
        <v>25779.0</v>
      </c>
      <c r="F67" s="1">
        <v>306.25</v>
      </c>
      <c r="G67" s="1">
        <v>39.8</v>
      </c>
      <c r="H67" s="1">
        <v>360.0</v>
      </c>
      <c r="I67" s="1">
        <v>1.0</v>
      </c>
      <c r="J67" s="1">
        <v>1.0</v>
      </c>
      <c r="K67" s="1">
        <v>4.0</v>
      </c>
      <c r="L67" s="1" t="b">
        <v>0</v>
      </c>
      <c r="M67" s="1" t="b">
        <v>0</v>
      </c>
      <c r="N67" s="1" t="b">
        <v>0</v>
      </c>
      <c r="O67" s="1" t="b">
        <v>1</v>
      </c>
      <c r="P67" s="1" t="b">
        <v>1</v>
      </c>
      <c r="Q67" s="1" t="b">
        <v>1</v>
      </c>
      <c r="R67" s="1" t="b">
        <v>1</v>
      </c>
      <c r="S67" s="1" t="s">
        <v>51</v>
      </c>
      <c r="T67" s="1" t="s">
        <v>311</v>
      </c>
      <c r="U67" s="1" t="s">
        <v>53</v>
      </c>
      <c r="V67" s="1">
        <v>4.6</v>
      </c>
      <c r="W67" s="1">
        <v>108.0</v>
      </c>
      <c r="X67" s="1">
        <v>2.0</v>
      </c>
      <c r="Y67" s="1" t="s">
        <v>71</v>
      </c>
      <c r="Z67" s="1" t="s">
        <v>54</v>
      </c>
      <c r="AA67" s="1" t="b">
        <v>1</v>
      </c>
      <c r="AB67" s="1">
        <v>209.0</v>
      </c>
      <c r="AC67" s="1" t="b">
        <v>1</v>
      </c>
      <c r="AD67" s="1">
        <v>80.0</v>
      </c>
      <c r="AE67" s="1">
        <v>24.0</v>
      </c>
      <c r="AF67" s="3">
        <v>46158.0</v>
      </c>
      <c r="AG67" s="1" t="s">
        <v>55</v>
      </c>
      <c r="AH67" s="1" t="s">
        <v>56</v>
      </c>
      <c r="AI67" s="1" t="s">
        <v>56</v>
      </c>
      <c r="AJ67" s="1" t="s">
        <v>58</v>
      </c>
      <c r="AK67" s="1">
        <v>81623.0</v>
      </c>
      <c r="AL67" s="1" t="s">
        <v>59</v>
      </c>
      <c r="AM67" s="1" t="s">
        <v>60</v>
      </c>
      <c r="AN67" s="4" t="s">
        <v>312</v>
      </c>
      <c r="AO67" s="4" t="s">
        <v>313</v>
      </c>
      <c r="AP67" s="1">
        <v>3.0501957E7</v>
      </c>
      <c r="AQ67" s="1">
        <v>1496815.0</v>
      </c>
      <c r="AR67" s="1">
        <v>39.16135</v>
      </c>
      <c r="AS67" s="1">
        <v>-107.25014</v>
      </c>
      <c r="AT67" s="5">
        <f t="shared" si="1"/>
        <v>41.81394958</v>
      </c>
      <c r="AU67" s="5">
        <f t="shared" si="2"/>
        <v>44185.20588</v>
      </c>
      <c r="AV67" s="5">
        <f t="shared" si="3"/>
        <v>0.04816453839</v>
      </c>
      <c r="AW67" s="5">
        <f t="shared" si="4"/>
        <v>0.4455157669</v>
      </c>
      <c r="AX67" s="5">
        <f t="shared" si="5"/>
        <v>19685.20588</v>
      </c>
    </row>
    <row r="68">
      <c r="A68" s="1" t="s">
        <v>314</v>
      </c>
      <c r="B68" s="1" t="s">
        <v>201</v>
      </c>
      <c r="D68" s="1">
        <v>24366.0</v>
      </c>
      <c r="E68" s="1">
        <v>51317.0</v>
      </c>
      <c r="F68" s="1">
        <v>902.44</v>
      </c>
      <c r="G68" s="1">
        <v>19.57</v>
      </c>
      <c r="H68" s="1">
        <v>253.0</v>
      </c>
      <c r="I68" s="1">
        <v>4.0</v>
      </c>
      <c r="J68" s="1">
        <v>3.0</v>
      </c>
      <c r="K68" s="1">
        <v>8.0</v>
      </c>
      <c r="L68" s="1" t="b">
        <v>1</v>
      </c>
      <c r="M68" s="1" t="b">
        <v>0</v>
      </c>
      <c r="N68" s="1" t="b">
        <v>1</v>
      </c>
      <c r="O68" s="1" t="b">
        <v>1</v>
      </c>
      <c r="P68" s="1" t="b">
        <v>1</v>
      </c>
      <c r="Q68" s="1" t="b">
        <v>0</v>
      </c>
      <c r="R68" s="1" t="b">
        <v>0</v>
      </c>
      <c r="S68" s="1" t="s">
        <v>51</v>
      </c>
      <c r="T68" s="1" t="s">
        <v>65</v>
      </c>
      <c r="U68" s="1" t="s">
        <v>53</v>
      </c>
      <c r="V68" s="1">
        <v>5.0</v>
      </c>
      <c r="W68" s="1">
        <v>22.0</v>
      </c>
      <c r="X68" s="1">
        <v>3.0</v>
      </c>
      <c r="Y68" s="2">
        <v>46193.0</v>
      </c>
      <c r="Z68" s="1" t="s">
        <v>54</v>
      </c>
      <c r="AA68" s="1" t="b">
        <v>1</v>
      </c>
      <c r="AB68" s="1">
        <v>449.0</v>
      </c>
      <c r="AC68" s="1" t="b">
        <v>0</v>
      </c>
      <c r="AD68" s="1">
        <v>27.0</v>
      </c>
      <c r="AE68" s="1">
        <v>8.0</v>
      </c>
      <c r="AF68" s="3">
        <v>46156.0</v>
      </c>
      <c r="AG68" s="1" t="s">
        <v>55</v>
      </c>
      <c r="AH68" s="1" t="s">
        <v>56</v>
      </c>
      <c r="AI68" s="1" t="s">
        <v>56</v>
      </c>
      <c r="AJ68" s="1" t="s">
        <v>58</v>
      </c>
      <c r="AK68" s="1">
        <v>81623.0</v>
      </c>
      <c r="AL68" s="1" t="s">
        <v>59</v>
      </c>
      <c r="AM68" s="1" t="s">
        <v>60</v>
      </c>
      <c r="AN68" s="4" t="s">
        <v>315</v>
      </c>
      <c r="AO68" s="4" t="s">
        <v>316</v>
      </c>
      <c r="AP68" s="1">
        <v>5.3200054E7</v>
      </c>
      <c r="AQ68" s="1">
        <v>2217067.0</v>
      </c>
      <c r="AR68" s="1">
        <v>39.42828</v>
      </c>
      <c r="AS68" s="1">
        <v>-107.18659</v>
      </c>
      <c r="AT68" s="5">
        <f t="shared" si="1"/>
        <v>41.81394958</v>
      </c>
      <c r="AU68" s="5">
        <f t="shared" si="2"/>
        <v>44185.20588</v>
      </c>
      <c r="AV68" s="5">
        <f t="shared" si="3"/>
        <v>0.5319743723</v>
      </c>
      <c r="AW68" s="5">
        <f t="shared" si="4"/>
        <v>0.4485484561</v>
      </c>
      <c r="AX68" s="5">
        <f t="shared" si="5"/>
        <v>19819.20588</v>
      </c>
    </row>
    <row r="69">
      <c r="A69" s="1" t="s">
        <v>317</v>
      </c>
      <c r="B69" s="1">
        <v>5.18789071E8</v>
      </c>
      <c r="D69" s="1">
        <v>22480.0</v>
      </c>
      <c r="E69" s="1">
        <v>35349.0</v>
      </c>
      <c r="F69" s="1">
        <v>562.0</v>
      </c>
      <c r="G69" s="1">
        <v>90.91</v>
      </c>
      <c r="H69" s="1">
        <v>44.0</v>
      </c>
      <c r="I69" s="1">
        <v>3.0</v>
      </c>
      <c r="J69" s="1">
        <v>3.0</v>
      </c>
      <c r="K69" s="1">
        <v>5.0</v>
      </c>
      <c r="L69" s="1" t="b">
        <v>1</v>
      </c>
      <c r="M69" s="1" t="b">
        <v>0</v>
      </c>
      <c r="N69" s="1" t="b">
        <v>0</v>
      </c>
      <c r="O69" s="1" t="b">
        <v>1</v>
      </c>
      <c r="P69" s="1" t="b">
        <v>1</v>
      </c>
      <c r="Q69" s="1" t="b">
        <v>0</v>
      </c>
      <c r="R69" s="1" t="b">
        <v>0</v>
      </c>
      <c r="S69" s="1" t="s">
        <v>51</v>
      </c>
      <c r="T69" s="1" t="s">
        <v>65</v>
      </c>
      <c r="U69" s="1" t="s">
        <v>53</v>
      </c>
      <c r="V69" s="1">
        <v>5.0</v>
      </c>
      <c r="W69" s="1">
        <v>2.0</v>
      </c>
      <c r="X69" s="1">
        <v>2.0</v>
      </c>
      <c r="Y69" s="2">
        <v>46058.0</v>
      </c>
      <c r="Z69" s="1" t="s">
        <v>54</v>
      </c>
      <c r="AA69" s="1" t="b">
        <v>0</v>
      </c>
      <c r="AB69" s="1">
        <v>350.0</v>
      </c>
      <c r="AC69" s="1" t="b">
        <v>1</v>
      </c>
      <c r="AD69" s="1">
        <v>40.0</v>
      </c>
      <c r="AE69" s="1">
        <v>2.0</v>
      </c>
      <c r="AF69" s="3">
        <v>45743.0</v>
      </c>
      <c r="AG69" s="1" t="s">
        <v>55</v>
      </c>
      <c r="AH69" s="1" t="s">
        <v>56</v>
      </c>
      <c r="AI69" s="1" t="s">
        <v>56</v>
      </c>
      <c r="AJ69" s="1" t="s">
        <v>58</v>
      </c>
      <c r="AK69" s="1">
        <v>81623.0</v>
      </c>
      <c r="AL69" s="1" t="s">
        <v>59</v>
      </c>
      <c r="AM69" s="1" t="s">
        <v>60</v>
      </c>
      <c r="AN69" s="4" t="s">
        <v>318</v>
      </c>
      <c r="AO69" s="4" t="s">
        <v>319</v>
      </c>
      <c r="AP69" s="1" t="s">
        <v>320</v>
      </c>
      <c r="AR69" s="1">
        <v>39.4154401</v>
      </c>
      <c r="AS69" s="1">
        <v>-107.2092572</v>
      </c>
      <c r="AT69" s="5">
        <f t="shared" si="1"/>
        <v>41.81394958</v>
      </c>
      <c r="AU69" s="5">
        <f t="shared" si="2"/>
        <v>44185.20588</v>
      </c>
      <c r="AV69" s="5">
        <f t="shared" si="3"/>
        <v>-1.174154819</v>
      </c>
      <c r="AW69" s="5">
        <f t="shared" si="4"/>
        <v>0.4912324261</v>
      </c>
      <c r="AX69" s="5">
        <f t="shared" si="5"/>
        <v>21705.20588</v>
      </c>
    </row>
    <row r="70">
      <c r="A70" s="1" t="s">
        <v>321</v>
      </c>
      <c r="B70" s="1">
        <v>9.6231898E7</v>
      </c>
      <c r="D70" s="1">
        <v>22451.0</v>
      </c>
      <c r="E70" s="1">
        <v>35523.0</v>
      </c>
      <c r="F70" s="1">
        <v>362.11</v>
      </c>
      <c r="G70" s="1">
        <v>46.97</v>
      </c>
      <c r="H70" s="1">
        <v>238.0</v>
      </c>
      <c r="I70" s="1">
        <v>2.0</v>
      </c>
      <c r="J70" s="1">
        <v>2.0</v>
      </c>
      <c r="K70" s="1">
        <v>5.0</v>
      </c>
      <c r="L70" s="1" t="b">
        <v>1</v>
      </c>
      <c r="M70" s="1" t="b">
        <v>0</v>
      </c>
      <c r="N70" s="1" t="b">
        <v>1</v>
      </c>
      <c r="O70" s="1" t="b">
        <v>1</v>
      </c>
      <c r="P70" s="1" t="b">
        <v>1</v>
      </c>
      <c r="Q70" s="1" t="b">
        <v>1</v>
      </c>
      <c r="R70" s="1" t="b">
        <v>1</v>
      </c>
      <c r="S70" s="1" t="s">
        <v>51</v>
      </c>
      <c r="T70" s="1" t="s">
        <v>65</v>
      </c>
      <c r="U70" s="1" t="s">
        <v>53</v>
      </c>
      <c r="V70" s="1">
        <v>4.9</v>
      </c>
      <c r="W70" s="1">
        <v>123.0</v>
      </c>
      <c r="X70" s="1">
        <v>3.0</v>
      </c>
      <c r="Y70" s="2">
        <v>46058.0</v>
      </c>
      <c r="Z70" s="1" t="s">
        <v>54</v>
      </c>
      <c r="AA70" s="1" t="b">
        <v>1</v>
      </c>
      <c r="AB70" s="1">
        <v>248.0</v>
      </c>
      <c r="AC70" s="1" t="b">
        <v>0</v>
      </c>
      <c r="AD70" s="1">
        <v>62.0</v>
      </c>
      <c r="AE70" s="1">
        <v>6.0</v>
      </c>
      <c r="AF70" s="3">
        <v>46156.0</v>
      </c>
      <c r="AG70" s="1" t="s">
        <v>55</v>
      </c>
      <c r="AH70" s="1" t="s">
        <v>56</v>
      </c>
      <c r="AI70" s="1" t="s">
        <v>56</v>
      </c>
      <c r="AJ70" s="1" t="s">
        <v>58</v>
      </c>
      <c r="AK70" s="1">
        <v>81623.0</v>
      </c>
      <c r="AL70" s="1" t="s">
        <v>59</v>
      </c>
      <c r="AM70" s="1" t="s">
        <v>60</v>
      </c>
      <c r="AN70" s="4" t="s">
        <v>322</v>
      </c>
      <c r="AO70" s="4" t="s">
        <v>323</v>
      </c>
      <c r="AP70" s="1" t="s">
        <v>324</v>
      </c>
      <c r="AQ70" s="1">
        <v>181146.0</v>
      </c>
      <c r="AR70" s="1">
        <v>39.4083270317</v>
      </c>
      <c r="AS70" s="1">
        <v>-107.1304750329</v>
      </c>
      <c r="AT70" s="5">
        <f t="shared" si="1"/>
        <v>41.81394958</v>
      </c>
      <c r="AU70" s="5">
        <f t="shared" si="2"/>
        <v>44185.20588</v>
      </c>
      <c r="AV70" s="5">
        <f t="shared" si="3"/>
        <v>-0.1233093375</v>
      </c>
      <c r="AW70" s="5">
        <f t="shared" si="4"/>
        <v>0.4918887544</v>
      </c>
      <c r="AX70" s="5">
        <f t="shared" si="5"/>
        <v>21734.20588</v>
      </c>
    </row>
    <row r="71">
      <c r="A71" s="1" t="s">
        <v>325</v>
      </c>
      <c r="B71" s="1" t="s">
        <v>98</v>
      </c>
      <c r="D71" s="1">
        <v>21692.0</v>
      </c>
      <c r="E71" s="1">
        <v>23469.0</v>
      </c>
      <c r="F71" s="1">
        <v>409.28</v>
      </c>
      <c r="G71" s="1">
        <v>47.75</v>
      </c>
      <c r="H71" s="1">
        <v>132.0</v>
      </c>
      <c r="I71" s="1">
        <v>1.0</v>
      </c>
      <c r="J71" s="1">
        <v>1.0</v>
      </c>
      <c r="K71" s="1">
        <v>4.0</v>
      </c>
      <c r="L71" s="1" t="b">
        <v>0</v>
      </c>
      <c r="M71" s="1" t="b">
        <v>0</v>
      </c>
      <c r="N71" s="1" t="b">
        <v>1</v>
      </c>
      <c r="O71" s="1" t="b">
        <v>1</v>
      </c>
      <c r="P71" s="1" t="b">
        <v>0</v>
      </c>
      <c r="Q71" s="1" t="b">
        <v>1</v>
      </c>
      <c r="R71" s="1" t="b">
        <v>0</v>
      </c>
      <c r="S71" s="1" t="s">
        <v>51</v>
      </c>
      <c r="T71" s="1" t="s">
        <v>256</v>
      </c>
      <c r="U71" s="1" t="s">
        <v>257</v>
      </c>
      <c r="V71" s="1">
        <v>4.3</v>
      </c>
      <c r="W71" s="1">
        <v>11.0</v>
      </c>
      <c r="X71" s="1">
        <v>2.0</v>
      </c>
      <c r="Y71" s="1" t="s">
        <v>71</v>
      </c>
      <c r="Z71" s="1" t="s">
        <v>54</v>
      </c>
      <c r="AA71" s="1" t="b">
        <v>1</v>
      </c>
      <c r="AB71" s="1">
        <v>250.0</v>
      </c>
      <c r="AC71" s="1" t="b">
        <v>0</v>
      </c>
      <c r="AD71" s="1">
        <v>53.0</v>
      </c>
      <c r="AE71" s="1">
        <v>19.0</v>
      </c>
      <c r="AF71" s="3">
        <v>45996.0</v>
      </c>
      <c r="AG71" s="1" t="s">
        <v>55</v>
      </c>
      <c r="AH71" s="1" t="s">
        <v>56</v>
      </c>
      <c r="AI71" s="1" t="s">
        <v>56</v>
      </c>
      <c r="AJ71" s="1" t="s">
        <v>58</v>
      </c>
      <c r="AK71" s="1">
        <v>81623.0</v>
      </c>
      <c r="AL71" s="1" t="s">
        <v>59</v>
      </c>
      <c r="AM71" s="1" t="s">
        <v>60</v>
      </c>
      <c r="AN71" s="4" t="s">
        <v>326</v>
      </c>
      <c r="AO71" s="4" t="s">
        <v>327</v>
      </c>
      <c r="AP71" s="1" t="s">
        <v>328</v>
      </c>
      <c r="AQ71" s="1">
        <v>4706800.0</v>
      </c>
      <c r="AR71" s="1">
        <v>39.4578384334</v>
      </c>
      <c r="AS71" s="1">
        <v>-107.1843456985</v>
      </c>
      <c r="AT71" s="5">
        <f t="shared" si="1"/>
        <v>41.81394958</v>
      </c>
      <c r="AU71" s="5">
        <f t="shared" si="2"/>
        <v>44185.20588</v>
      </c>
      <c r="AV71" s="5">
        <f t="shared" si="3"/>
        <v>-0.1419633993</v>
      </c>
      <c r="AW71" s="5">
        <f t="shared" si="4"/>
        <v>0.5090664496</v>
      </c>
      <c r="AX71" s="5">
        <f t="shared" si="5"/>
        <v>22493.20588</v>
      </c>
    </row>
    <row r="72">
      <c r="A72" s="1" t="s">
        <v>329</v>
      </c>
      <c r="B72" s="1">
        <v>4.16457609E8</v>
      </c>
      <c r="D72" s="1">
        <v>21546.0</v>
      </c>
      <c r="E72" s="1">
        <v>39358.0</v>
      </c>
      <c r="F72" s="1">
        <v>430.92</v>
      </c>
      <c r="G72" s="1">
        <v>49.5</v>
      </c>
      <c r="H72" s="1">
        <v>276.0</v>
      </c>
      <c r="I72" s="1">
        <v>1.0</v>
      </c>
      <c r="J72" s="1">
        <v>2.0</v>
      </c>
      <c r="K72" s="1">
        <v>4.0</v>
      </c>
      <c r="L72" s="1" t="b">
        <v>0</v>
      </c>
      <c r="M72" s="1" t="b">
        <v>0</v>
      </c>
      <c r="N72" s="1" t="b">
        <v>0</v>
      </c>
      <c r="O72" s="1" t="b">
        <v>1</v>
      </c>
      <c r="P72" s="1" t="b">
        <v>1</v>
      </c>
      <c r="Q72" s="1" t="b">
        <v>0</v>
      </c>
      <c r="R72" s="1" t="b">
        <v>0</v>
      </c>
      <c r="S72" s="1" t="s">
        <v>51</v>
      </c>
      <c r="T72" s="1" t="s">
        <v>65</v>
      </c>
      <c r="U72" s="1" t="s">
        <v>53</v>
      </c>
      <c r="V72" s="1">
        <v>0.0</v>
      </c>
      <c r="W72" s="1">
        <v>0.0</v>
      </c>
      <c r="X72" s="1">
        <v>4.0</v>
      </c>
      <c r="Y72" s="2">
        <v>46058.0</v>
      </c>
      <c r="Z72" s="1" t="s">
        <v>54</v>
      </c>
      <c r="AA72" s="1" t="b">
        <v>1</v>
      </c>
      <c r="AB72" s="1">
        <v>4.0</v>
      </c>
      <c r="AC72" s="1" t="b">
        <v>0</v>
      </c>
      <c r="AD72" s="1">
        <v>50.0</v>
      </c>
      <c r="AE72" s="1">
        <v>12.0</v>
      </c>
      <c r="AF72" s="3">
        <v>46159.0</v>
      </c>
      <c r="AG72" s="1" t="s">
        <v>55</v>
      </c>
      <c r="AH72" s="1" t="s">
        <v>56</v>
      </c>
      <c r="AI72" s="1" t="s">
        <v>57</v>
      </c>
      <c r="AJ72" s="1" t="s">
        <v>58</v>
      </c>
      <c r="AK72" s="1">
        <v>81654.0</v>
      </c>
      <c r="AL72" s="1" t="s">
        <v>59</v>
      </c>
      <c r="AM72" s="1" t="s">
        <v>60</v>
      </c>
      <c r="AN72" s="4" t="s">
        <v>330</v>
      </c>
      <c r="AO72" s="4" t="s">
        <v>331</v>
      </c>
      <c r="AP72" s="1">
        <v>5.2075773E7</v>
      </c>
      <c r="AR72" s="1">
        <v>39.3122</v>
      </c>
      <c r="AS72" s="1">
        <v>-106.984</v>
      </c>
      <c r="AT72" s="5">
        <f t="shared" si="1"/>
        <v>41.81394958</v>
      </c>
      <c r="AU72" s="5">
        <f t="shared" si="2"/>
        <v>44185.20588</v>
      </c>
      <c r="AV72" s="5">
        <f t="shared" si="3"/>
        <v>-0.183815461</v>
      </c>
      <c r="AW72" s="5">
        <f t="shared" si="4"/>
        <v>0.512370723</v>
      </c>
      <c r="AX72" s="5">
        <f t="shared" si="5"/>
        <v>22639.20588</v>
      </c>
    </row>
    <row r="73">
      <c r="A73" s="1" t="s">
        <v>332</v>
      </c>
      <c r="B73" s="1">
        <v>2.0823618E7</v>
      </c>
      <c r="D73" s="1">
        <v>21092.0</v>
      </c>
      <c r="E73" s="1">
        <v>25930.0</v>
      </c>
      <c r="F73" s="1">
        <v>285.03</v>
      </c>
      <c r="G73" s="1">
        <v>81.32</v>
      </c>
      <c r="H73" s="1">
        <v>101.0</v>
      </c>
      <c r="I73" s="1">
        <v>1.0</v>
      </c>
      <c r="J73" s="1">
        <v>1.0</v>
      </c>
      <c r="K73" s="1">
        <v>2.0</v>
      </c>
      <c r="L73" s="1" t="b">
        <v>1</v>
      </c>
      <c r="M73" s="1" t="b">
        <v>0</v>
      </c>
      <c r="N73" s="1" t="b">
        <v>0</v>
      </c>
      <c r="O73" s="1" t="b">
        <v>1</v>
      </c>
      <c r="P73" s="1" t="b">
        <v>1</v>
      </c>
      <c r="Q73" s="1" t="b">
        <v>0</v>
      </c>
      <c r="R73" s="1" t="b">
        <v>0</v>
      </c>
      <c r="S73" s="1" t="s">
        <v>51</v>
      </c>
      <c r="T73" s="1" t="s">
        <v>256</v>
      </c>
      <c r="U73" s="1" t="s">
        <v>257</v>
      </c>
      <c r="V73" s="1">
        <v>5.0</v>
      </c>
      <c r="W73" s="1">
        <v>12.0</v>
      </c>
      <c r="X73" s="1">
        <v>2.0</v>
      </c>
      <c r="Y73" s="2">
        <v>46193.0</v>
      </c>
      <c r="Z73" s="1" t="s">
        <v>54</v>
      </c>
      <c r="AA73" s="1" t="b">
        <v>1</v>
      </c>
      <c r="AB73" s="1">
        <v>90.0</v>
      </c>
      <c r="AC73" s="1" t="b">
        <v>0</v>
      </c>
      <c r="AD73" s="1">
        <v>74.0</v>
      </c>
      <c r="AE73" s="1">
        <v>16.0</v>
      </c>
      <c r="AF73" s="3">
        <v>46114.0</v>
      </c>
      <c r="AG73" s="1" t="s">
        <v>55</v>
      </c>
      <c r="AH73" s="1" t="s">
        <v>56</v>
      </c>
      <c r="AI73" s="1" t="s">
        <v>56</v>
      </c>
      <c r="AJ73" s="1" t="s">
        <v>58</v>
      </c>
      <c r="AK73" s="1">
        <v>81623.0</v>
      </c>
      <c r="AL73" s="1" t="s">
        <v>59</v>
      </c>
      <c r="AM73" s="1" t="s">
        <v>60</v>
      </c>
      <c r="AN73" s="4" t="s">
        <v>333</v>
      </c>
      <c r="AO73" s="4" t="s">
        <v>334</v>
      </c>
      <c r="AP73" s="1" t="s">
        <v>335</v>
      </c>
      <c r="AR73" s="1">
        <v>39.4272009587</v>
      </c>
      <c r="AS73" s="1">
        <v>-107.147963116</v>
      </c>
      <c r="AT73" s="5">
        <f t="shared" si="1"/>
        <v>41.81394958</v>
      </c>
      <c r="AU73" s="5">
        <f t="shared" si="2"/>
        <v>44185.20588</v>
      </c>
      <c r="AV73" s="5">
        <f t="shared" si="3"/>
        <v>-0.9448055211</v>
      </c>
      <c r="AW73" s="5">
        <f t="shared" si="4"/>
        <v>0.5226456553</v>
      </c>
      <c r="AX73" s="5">
        <f t="shared" si="5"/>
        <v>23093.20588</v>
      </c>
    </row>
    <row r="74">
      <c r="A74" s="1" t="s">
        <v>336</v>
      </c>
      <c r="B74" s="1">
        <v>2.0899549E7</v>
      </c>
      <c r="D74" s="1">
        <v>19710.0</v>
      </c>
      <c r="E74" s="1">
        <v>32465.0</v>
      </c>
      <c r="F74" s="1">
        <v>234.64</v>
      </c>
      <c r="G74" s="1">
        <v>47.19</v>
      </c>
      <c r="H74" s="1">
        <v>189.0</v>
      </c>
      <c r="I74" s="1">
        <v>1.0</v>
      </c>
      <c r="J74" s="1">
        <v>1.0</v>
      </c>
      <c r="K74" s="1">
        <v>5.0</v>
      </c>
      <c r="L74" s="1" t="b">
        <v>0</v>
      </c>
      <c r="M74" s="1" t="b">
        <v>0</v>
      </c>
      <c r="N74" s="1" t="b">
        <v>0</v>
      </c>
      <c r="O74" s="1" t="b">
        <v>1</v>
      </c>
      <c r="P74" s="1" t="b">
        <v>1</v>
      </c>
      <c r="Q74" s="1" t="b">
        <v>1</v>
      </c>
      <c r="R74" s="1" t="b">
        <v>0</v>
      </c>
      <c r="S74" s="1" t="s">
        <v>51</v>
      </c>
      <c r="T74" s="1" t="s">
        <v>137</v>
      </c>
      <c r="U74" s="1" t="s">
        <v>53</v>
      </c>
      <c r="V74" s="1">
        <v>4.9</v>
      </c>
      <c r="W74" s="1">
        <v>13.0</v>
      </c>
      <c r="X74" s="1">
        <v>2.0</v>
      </c>
      <c r="Y74" s="2">
        <v>46193.0</v>
      </c>
      <c r="Z74" s="1" t="s">
        <v>54</v>
      </c>
      <c r="AA74" s="1" t="b">
        <v>1</v>
      </c>
      <c r="AB74" s="1">
        <v>0.0</v>
      </c>
      <c r="AC74" s="1" t="b">
        <v>1</v>
      </c>
      <c r="AD74" s="1">
        <v>84.0</v>
      </c>
      <c r="AE74" s="1">
        <v>32.0</v>
      </c>
      <c r="AF74" s="3">
        <v>46155.0</v>
      </c>
      <c r="AG74" s="1" t="s">
        <v>55</v>
      </c>
      <c r="AH74" s="1" t="s">
        <v>56</v>
      </c>
      <c r="AI74" s="1" t="s">
        <v>56</v>
      </c>
      <c r="AJ74" s="1" t="s">
        <v>58</v>
      </c>
      <c r="AK74" s="1">
        <v>81623.0</v>
      </c>
      <c r="AL74" s="1" t="s">
        <v>59</v>
      </c>
      <c r="AM74" s="1" t="s">
        <v>60</v>
      </c>
      <c r="AN74" s="4" t="s">
        <v>337</v>
      </c>
      <c r="AO74" s="4" t="s">
        <v>338</v>
      </c>
      <c r="AP74" s="1">
        <v>4.0617399E7</v>
      </c>
      <c r="AR74" s="1">
        <v>39.07317</v>
      </c>
      <c r="AS74" s="1">
        <v>-107.18474</v>
      </c>
      <c r="AT74" s="5">
        <f t="shared" si="1"/>
        <v>41.81394958</v>
      </c>
      <c r="AU74" s="5">
        <f t="shared" si="2"/>
        <v>44185.20588</v>
      </c>
      <c r="AV74" s="5">
        <f t="shared" si="3"/>
        <v>-0.1285707395</v>
      </c>
      <c r="AW74" s="5">
        <f t="shared" si="4"/>
        <v>0.5539230924</v>
      </c>
      <c r="AX74" s="5">
        <f t="shared" si="5"/>
        <v>24475.20588</v>
      </c>
    </row>
    <row r="75">
      <c r="A75" s="1" t="s">
        <v>339</v>
      </c>
      <c r="B75" s="1" t="s">
        <v>190</v>
      </c>
      <c r="D75" s="1">
        <v>19365.0</v>
      </c>
      <c r="E75" s="1">
        <v>19570.0</v>
      </c>
      <c r="F75" s="1">
        <v>251.49</v>
      </c>
      <c r="G75" s="1">
        <v>52.74</v>
      </c>
      <c r="H75" s="1">
        <v>150.0</v>
      </c>
      <c r="I75" s="1">
        <v>1.0</v>
      </c>
      <c r="J75" s="1">
        <v>1.0</v>
      </c>
      <c r="K75" s="1">
        <v>4.0</v>
      </c>
      <c r="L75" s="1" t="b">
        <v>0</v>
      </c>
      <c r="M75" s="1" t="b">
        <v>0</v>
      </c>
      <c r="N75" s="1" t="b">
        <v>0</v>
      </c>
      <c r="O75" s="1" t="b">
        <v>1</v>
      </c>
      <c r="P75" s="1" t="b">
        <v>1</v>
      </c>
      <c r="Q75" s="1" t="b">
        <v>0</v>
      </c>
      <c r="R75" s="1" t="b">
        <v>0</v>
      </c>
      <c r="S75" s="1" t="s">
        <v>51</v>
      </c>
      <c r="T75" s="1" t="s">
        <v>209</v>
      </c>
      <c r="U75" s="1" t="s">
        <v>164</v>
      </c>
      <c r="V75" s="1">
        <v>4.8</v>
      </c>
      <c r="W75" s="1">
        <v>5.0</v>
      </c>
      <c r="X75" s="1">
        <v>2.0</v>
      </c>
      <c r="Y75" s="1" t="s">
        <v>71</v>
      </c>
      <c r="Z75" s="1" t="s">
        <v>54</v>
      </c>
      <c r="AA75" s="1" t="b">
        <v>1</v>
      </c>
      <c r="AB75" s="1">
        <v>224.0</v>
      </c>
      <c r="AC75" s="1" t="b">
        <v>1</v>
      </c>
      <c r="AD75" s="1">
        <v>77.0</v>
      </c>
      <c r="AE75" s="1">
        <v>14.0</v>
      </c>
      <c r="AF75" s="3">
        <v>46158.0</v>
      </c>
      <c r="AG75" s="1" t="s">
        <v>55</v>
      </c>
      <c r="AH75" s="1" t="s">
        <v>56</v>
      </c>
      <c r="AI75" s="1" t="s">
        <v>56</v>
      </c>
      <c r="AJ75" s="1" t="s">
        <v>58</v>
      </c>
      <c r="AK75" s="1">
        <v>81623.0</v>
      </c>
      <c r="AL75" s="1" t="s">
        <v>59</v>
      </c>
      <c r="AM75" s="1" t="s">
        <v>60</v>
      </c>
      <c r="AN75" s="4" t="s">
        <v>340</v>
      </c>
      <c r="AO75" s="4" t="s">
        <v>341</v>
      </c>
      <c r="AP75" s="1" t="s">
        <v>342</v>
      </c>
      <c r="AQ75" s="1">
        <v>4975213.0</v>
      </c>
      <c r="AR75" s="1">
        <v>39.3952</v>
      </c>
      <c r="AS75" s="1">
        <v>-107.2073</v>
      </c>
      <c r="AT75" s="5">
        <f t="shared" si="1"/>
        <v>41.81394958</v>
      </c>
      <c r="AU75" s="5">
        <f t="shared" si="2"/>
        <v>44185.20588</v>
      </c>
      <c r="AV75" s="5">
        <f t="shared" si="3"/>
        <v>-0.261301564</v>
      </c>
      <c r="AW75" s="5">
        <f t="shared" si="4"/>
        <v>0.5617311357</v>
      </c>
      <c r="AX75" s="5">
        <f t="shared" si="5"/>
        <v>24820.20588</v>
      </c>
    </row>
    <row r="76">
      <c r="A76" s="1" t="s">
        <v>343</v>
      </c>
      <c r="B76" s="1">
        <v>6130716.0</v>
      </c>
      <c r="D76" s="1">
        <v>19349.0</v>
      </c>
      <c r="E76" s="1">
        <v>22964.0</v>
      </c>
      <c r="F76" s="1">
        <v>297.68</v>
      </c>
      <c r="G76" s="1">
        <v>32.18</v>
      </c>
      <c r="H76" s="1">
        <v>334.0</v>
      </c>
      <c r="I76" s="1">
        <v>1.0</v>
      </c>
      <c r="J76" s="1">
        <v>1.0</v>
      </c>
      <c r="K76" s="1">
        <v>4.0</v>
      </c>
      <c r="L76" s="1" t="b">
        <v>0</v>
      </c>
      <c r="M76" s="1" t="b">
        <v>0</v>
      </c>
      <c r="N76" s="1" t="b">
        <v>0</v>
      </c>
      <c r="O76" s="1" t="b">
        <v>1</v>
      </c>
      <c r="P76" s="1" t="b">
        <v>1</v>
      </c>
      <c r="Q76" s="1" t="b">
        <v>1</v>
      </c>
      <c r="R76" s="1" t="b">
        <v>0</v>
      </c>
      <c r="S76" s="1" t="s">
        <v>51</v>
      </c>
      <c r="T76" s="1" t="s">
        <v>163</v>
      </c>
      <c r="U76" s="1" t="s">
        <v>164</v>
      </c>
      <c r="V76" s="1">
        <v>4.75</v>
      </c>
      <c r="W76" s="1">
        <v>4.0</v>
      </c>
      <c r="X76" s="1">
        <v>3.0</v>
      </c>
      <c r="Y76" s="2">
        <v>46193.0</v>
      </c>
      <c r="Z76" s="1" t="s">
        <v>54</v>
      </c>
      <c r="AA76" s="1" t="b">
        <v>1</v>
      </c>
      <c r="AB76" s="1">
        <v>149.0</v>
      </c>
      <c r="AC76" s="1" t="b">
        <v>1</v>
      </c>
      <c r="AD76" s="1">
        <v>65.0</v>
      </c>
      <c r="AE76" s="1">
        <v>11.0</v>
      </c>
      <c r="AF76" s="3">
        <v>46116.0</v>
      </c>
      <c r="AG76" s="1" t="s">
        <v>55</v>
      </c>
      <c r="AH76" s="1" t="s">
        <v>56</v>
      </c>
      <c r="AI76" s="1" t="s">
        <v>72</v>
      </c>
      <c r="AJ76" s="1" t="s">
        <v>58</v>
      </c>
      <c r="AK76" s="1">
        <v>81621.0</v>
      </c>
      <c r="AL76" s="1" t="s">
        <v>59</v>
      </c>
      <c r="AM76" s="1" t="s">
        <v>60</v>
      </c>
      <c r="AN76" s="4" t="s">
        <v>344</v>
      </c>
      <c r="AO76" s="4" t="s">
        <v>345</v>
      </c>
      <c r="AP76" s="1" t="s">
        <v>346</v>
      </c>
      <c r="AR76" s="1">
        <v>39.3659854723</v>
      </c>
      <c r="AS76" s="1">
        <v>-107.0298804675</v>
      </c>
      <c r="AT76" s="5">
        <f t="shared" si="1"/>
        <v>41.81394958</v>
      </c>
      <c r="AU76" s="5">
        <f t="shared" si="2"/>
        <v>44185.20588</v>
      </c>
      <c r="AV76" s="5">
        <f t="shared" si="3"/>
        <v>0.230400373</v>
      </c>
      <c r="AW76" s="5">
        <f t="shared" si="4"/>
        <v>0.5620932479</v>
      </c>
      <c r="AX76" s="5">
        <f t="shared" si="5"/>
        <v>24836.20588</v>
      </c>
    </row>
    <row r="77">
      <c r="A77" s="1" t="s">
        <v>347</v>
      </c>
      <c r="B77" s="1">
        <v>1.19970248E8</v>
      </c>
      <c r="D77" s="1">
        <v>19315.0</v>
      </c>
      <c r="E77" s="1">
        <v>47314.0</v>
      </c>
      <c r="F77" s="1">
        <v>568.09</v>
      </c>
      <c r="G77" s="1">
        <v>37.78</v>
      </c>
      <c r="H77" s="1">
        <v>251.0</v>
      </c>
      <c r="I77" s="1">
        <v>3.0</v>
      </c>
      <c r="J77" s="1">
        <v>2.0</v>
      </c>
      <c r="K77" s="1">
        <v>7.0</v>
      </c>
      <c r="L77" s="1" t="b">
        <v>1</v>
      </c>
      <c r="M77" s="1" t="b">
        <v>0</v>
      </c>
      <c r="N77" s="1" t="b">
        <v>0</v>
      </c>
      <c r="O77" s="1" t="b">
        <v>1</v>
      </c>
      <c r="P77" s="1" t="b">
        <v>1</v>
      </c>
      <c r="Q77" s="1" t="b">
        <v>0</v>
      </c>
      <c r="R77" s="1" t="b">
        <v>0</v>
      </c>
      <c r="S77" s="1" t="s">
        <v>51</v>
      </c>
      <c r="T77" s="1" t="s">
        <v>65</v>
      </c>
      <c r="U77" s="1" t="s">
        <v>53</v>
      </c>
      <c r="V77" s="1">
        <v>5.0</v>
      </c>
      <c r="W77" s="1">
        <v>17.0</v>
      </c>
      <c r="X77" s="1">
        <v>3.0</v>
      </c>
      <c r="Y77" s="2">
        <v>46058.0</v>
      </c>
      <c r="Z77" s="1" t="s">
        <v>54</v>
      </c>
      <c r="AA77" s="1" t="b">
        <v>0</v>
      </c>
      <c r="AB77" s="1">
        <v>244.0</v>
      </c>
      <c r="AC77" s="1" t="b">
        <v>0</v>
      </c>
      <c r="AD77" s="1">
        <v>34.0</v>
      </c>
      <c r="AE77" s="1">
        <v>8.0</v>
      </c>
      <c r="AF77" s="3">
        <v>46156.0</v>
      </c>
      <c r="AG77" s="1" t="s">
        <v>55</v>
      </c>
      <c r="AH77" s="1" t="s">
        <v>56</v>
      </c>
      <c r="AI77" s="1" t="s">
        <v>57</v>
      </c>
      <c r="AJ77" s="1" t="s">
        <v>58</v>
      </c>
      <c r="AK77" s="1">
        <v>81654.0</v>
      </c>
      <c r="AL77" s="1" t="s">
        <v>59</v>
      </c>
      <c r="AM77" s="1" t="s">
        <v>60</v>
      </c>
      <c r="AN77" s="4" t="s">
        <v>348</v>
      </c>
      <c r="AO77" s="4" t="s">
        <v>349</v>
      </c>
      <c r="AP77" s="1" t="s">
        <v>350</v>
      </c>
      <c r="AQ77" s="1">
        <v>4157816.0</v>
      </c>
      <c r="AR77" s="1">
        <v>39.29425</v>
      </c>
      <c r="AS77" s="1">
        <v>-107.00733</v>
      </c>
      <c r="AT77" s="5">
        <f t="shared" si="1"/>
        <v>41.81394958</v>
      </c>
      <c r="AU77" s="5">
        <f t="shared" si="2"/>
        <v>44185.20588</v>
      </c>
      <c r="AV77" s="5">
        <f t="shared" si="3"/>
        <v>0.09647377539</v>
      </c>
      <c r="AW77" s="5">
        <f t="shared" si="4"/>
        <v>0.5628627362</v>
      </c>
      <c r="AX77" s="5">
        <f t="shared" si="5"/>
        <v>24870.20588</v>
      </c>
    </row>
    <row r="78">
      <c r="A78" s="1" t="s">
        <v>351</v>
      </c>
      <c r="B78" s="1">
        <v>5611215.0</v>
      </c>
      <c r="D78" s="1">
        <v>18261.0</v>
      </c>
      <c r="E78" s="1">
        <v>27974.0</v>
      </c>
      <c r="F78" s="1">
        <v>314.84</v>
      </c>
      <c r="G78" s="1">
        <v>54.21</v>
      </c>
      <c r="H78" s="1">
        <v>183.0</v>
      </c>
      <c r="I78" s="1">
        <v>1.0</v>
      </c>
      <c r="J78" s="1">
        <v>1.0</v>
      </c>
      <c r="K78" s="1">
        <v>2.0</v>
      </c>
      <c r="L78" s="1" t="b">
        <v>0</v>
      </c>
      <c r="M78" s="1" t="b">
        <v>0</v>
      </c>
      <c r="N78" s="1" t="b">
        <v>0</v>
      </c>
      <c r="O78" s="1" t="b">
        <v>1</v>
      </c>
      <c r="P78" s="1" t="b">
        <v>1</v>
      </c>
      <c r="Q78" s="1" t="b">
        <v>0</v>
      </c>
      <c r="R78" s="1" t="b">
        <v>0</v>
      </c>
      <c r="S78" s="1" t="s">
        <v>51</v>
      </c>
      <c r="T78" s="1" t="s">
        <v>209</v>
      </c>
      <c r="U78" s="1" t="s">
        <v>164</v>
      </c>
      <c r="V78" s="1">
        <v>4.95</v>
      </c>
      <c r="W78" s="1">
        <v>92.0</v>
      </c>
      <c r="X78" s="1">
        <v>3.0</v>
      </c>
      <c r="Y78" s="1">
        <v>1.0</v>
      </c>
      <c r="Z78" s="1" t="s">
        <v>54</v>
      </c>
      <c r="AA78" s="1" t="b">
        <v>0</v>
      </c>
      <c r="AB78" s="1">
        <v>150.0</v>
      </c>
      <c r="AC78" s="1" t="b">
        <v>0</v>
      </c>
      <c r="AD78" s="1">
        <v>58.0</v>
      </c>
      <c r="AE78" s="1">
        <v>7.0</v>
      </c>
      <c r="AF78" s="3">
        <v>46155.0</v>
      </c>
      <c r="AG78" s="1" t="s">
        <v>55</v>
      </c>
      <c r="AH78" s="1" t="s">
        <v>56</v>
      </c>
      <c r="AI78" s="1" t="s">
        <v>56</v>
      </c>
      <c r="AJ78" s="1" t="s">
        <v>58</v>
      </c>
      <c r="AK78" s="1">
        <v>81623.0</v>
      </c>
      <c r="AL78" s="1" t="s">
        <v>59</v>
      </c>
      <c r="AM78" s="1" t="s">
        <v>60</v>
      </c>
      <c r="AN78" s="4" t="s">
        <v>352</v>
      </c>
      <c r="AO78" s="4" t="s">
        <v>353</v>
      </c>
      <c r="AP78" s="1">
        <v>2.0147683E7</v>
      </c>
      <c r="AQ78" s="1">
        <v>1176086.0</v>
      </c>
      <c r="AR78" s="1">
        <v>39.40667</v>
      </c>
      <c r="AS78" s="1">
        <v>-107.17511</v>
      </c>
      <c r="AT78" s="5">
        <f t="shared" si="1"/>
        <v>41.81394958</v>
      </c>
      <c r="AU78" s="5">
        <f t="shared" si="2"/>
        <v>44185.20588</v>
      </c>
      <c r="AV78" s="5">
        <f t="shared" si="3"/>
        <v>-0.2964572958</v>
      </c>
      <c r="AW78" s="5">
        <f t="shared" si="4"/>
        <v>0.5867168742</v>
      </c>
      <c r="AX78" s="5">
        <f t="shared" si="5"/>
        <v>25924.20588</v>
      </c>
    </row>
    <row r="79">
      <c r="A79" s="1" t="s">
        <v>354</v>
      </c>
      <c r="B79" s="1">
        <v>7.6629108E7</v>
      </c>
      <c r="D79" s="1">
        <v>17877.0</v>
      </c>
      <c r="E79" s="1">
        <v>19498.0</v>
      </c>
      <c r="F79" s="1">
        <v>337.3</v>
      </c>
      <c r="G79" s="1">
        <v>43.8</v>
      </c>
      <c r="H79" s="1">
        <v>196.0</v>
      </c>
      <c r="I79" s="1">
        <v>1.0</v>
      </c>
      <c r="J79" s="1">
        <v>1.0</v>
      </c>
      <c r="K79" s="1">
        <v>2.0</v>
      </c>
      <c r="L79" s="1" t="b">
        <v>0</v>
      </c>
      <c r="M79" s="1" t="b">
        <v>0</v>
      </c>
      <c r="N79" s="1" t="b">
        <v>0</v>
      </c>
      <c r="O79" s="1" t="b">
        <v>1</v>
      </c>
      <c r="P79" s="1" t="b">
        <v>1</v>
      </c>
      <c r="Q79" s="1" t="b">
        <v>0</v>
      </c>
      <c r="R79" s="1" t="b">
        <v>0</v>
      </c>
      <c r="S79" s="1" t="s">
        <v>51</v>
      </c>
      <c r="T79" s="1" t="s">
        <v>202</v>
      </c>
      <c r="U79" s="1" t="s">
        <v>53</v>
      </c>
      <c r="V79" s="1">
        <v>4.95</v>
      </c>
      <c r="W79" s="1">
        <v>101.0</v>
      </c>
      <c r="X79" s="1">
        <v>3.0</v>
      </c>
      <c r="Y79" s="1">
        <v>1.0</v>
      </c>
      <c r="Z79" s="1" t="s">
        <v>54</v>
      </c>
      <c r="AA79" s="1" t="b">
        <v>1</v>
      </c>
      <c r="AB79" s="1">
        <v>134.0</v>
      </c>
      <c r="AC79" s="1" t="b">
        <v>0</v>
      </c>
      <c r="AD79" s="1">
        <v>53.0</v>
      </c>
      <c r="AE79" s="1">
        <v>12.0</v>
      </c>
      <c r="AF79" s="3">
        <v>46158.0</v>
      </c>
      <c r="AG79" s="1" t="s">
        <v>55</v>
      </c>
      <c r="AH79" s="1" t="s">
        <v>56</v>
      </c>
      <c r="AI79" s="1" t="s">
        <v>57</v>
      </c>
      <c r="AJ79" s="1" t="s">
        <v>58</v>
      </c>
      <c r="AK79" s="1">
        <v>81654.0</v>
      </c>
      <c r="AL79" s="1" t="s">
        <v>59</v>
      </c>
      <c r="AM79" s="1" t="s">
        <v>60</v>
      </c>
      <c r="AN79" s="4" t="s">
        <v>355</v>
      </c>
      <c r="AO79" s="4" t="s">
        <v>356</v>
      </c>
      <c r="AP79" s="1">
        <v>1.3433864E7</v>
      </c>
      <c r="AQ79" s="1">
        <v>2140793.0</v>
      </c>
      <c r="AR79" s="1">
        <v>39.32807</v>
      </c>
      <c r="AS79" s="1">
        <v>-106.98606</v>
      </c>
      <c r="AT79" s="5">
        <f t="shared" si="1"/>
        <v>41.81394958</v>
      </c>
      <c r="AU79" s="5">
        <f t="shared" si="2"/>
        <v>44185.20588</v>
      </c>
      <c r="AV79" s="5">
        <f t="shared" si="3"/>
        <v>-0.04749731705</v>
      </c>
      <c r="AW79" s="5">
        <f t="shared" si="4"/>
        <v>0.5954075659</v>
      </c>
      <c r="AX79" s="5">
        <f t="shared" si="5"/>
        <v>26308.20588</v>
      </c>
    </row>
    <row r="80">
      <c r="A80" s="1" t="s">
        <v>357</v>
      </c>
      <c r="B80" s="1" t="s">
        <v>98</v>
      </c>
      <c r="D80" s="1">
        <v>17552.0</v>
      </c>
      <c r="E80" s="1">
        <v>22027.0</v>
      </c>
      <c r="F80" s="1">
        <v>337.54</v>
      </c>
      <c r="G80" s="1">
        <v>52.53</v>
      </c>
      <c r="H80" s="1">
        <v>118.0</v>
      </c>
      <c r="I80" s="1">
        <v>2.0</v>
      </c>
      <c r="J80" s="1">
        <v>1.0</v>
      </c>
      <c r="K80" s="1">
        <v>4.0</v>
      </c>
      <c r="L80" s="1" t="b">
        <v>0</v>
      </c>
      <c r="M80" s="1" t="b">
        <v>0</v>
      </c>
      <c r="N80" s="1" t="b">
        <v>0</v>
      </c>
      <c r="O80" s="1" t="b">
        <v>1</v>
      </c>
      <c r="P80" s="1" t="b">
        <v>1</v>
      </c>
      <c r="Q80" s="1" t="b">
        <v>0</v>
      </c>
      <c r="R80" s="1" t="b">
        <v>0</v>
      </c>
      <c r="S80" s="1" t="s">
        <v>51</v>
      </c>
      <c r="T80" s="1" t="s">
        <v>65</v>
      </c>
      <c r="U80" s="1" t="s">
        <v>53</v>
      </c>
      <c r="V80" s="1">
        <v>4.9</v>
      </c>
      <c r="W80" s="1">
        <v>38.0</v>
      </c>
      <c r="X80" s="1">
        <v>3.0</v>
      </c>
      <c r="Y80" s="1" t="s">
        <v>71</v>
      </c>
      <c r="Z80" s="1" t="s">
        <v>54</v>
      </c>
      <c r="AA80" s="1" t="b">
        <v>1</v>
      </c>
      <c r="AB80" s="1">
        <v>275.0</v>
      </c>
      <c r="AC80" s="1" t="b">
        <v>0</v>
      </c>
      <c r="AD80" s="1">
        <v>52.0</v>
      </c>
      <c r="AE80" s="1">
        <v>14.0</v>
      </c>
      <c r="AF80" s="3">
        <v>45936.0</v>
      </c>
      <c r="AG80" s="1" t="s">
        <v>55</v>
      </c>
      <c r="AH80" s="1" t="s">
        <v>56</v>
      </c>
      <c r="AI80" s="1" t="s">
        <v>56</v>
      </c>
      <c r="AJ80" s="1" t="s">
        <v>58</v>
      </c>
      <c r="AK80" s="1">
        <v>81623.0</v>
      </c>
      <c r="AL80" s="1" t="s">
        <v>59</v>
      </c>
      <c r="AM80" s="1" t="s">
        <v>60</v>
      </c>
      <c r="AN80" s="4" t="s">
        <v>358</v>
      </c>
      <c r="AO80" s="4" t="s">
        <v>359</v>
      </c>
      <c r="AP80" s="1" t="s">
        <v>360</v>
      </c>
      <c r="AQ80" s="1">
        <v>3942676.0</v>
      </c>
      <c r="AR80" s="1">
        <v>39.18349</v>
      </c>
      <c r="AS80" s="1">
        <v>-107.23744</v>
      </c>
      <c r="AT80" s="5">
        <f t="shared" si="1"/>
        <v>41.81394958</v>
      </c>
      <c r="AU80" s="5">
        <f t="shared" si="2"/>
        <v>44185.20588</v>
      </c>
      <c r="AV80" s="5">
        <f t="shared" si="3"/>
        <v>-0.2562793165</v>
      </c>
      <c r="AW80" s="5">
        <f t="shared" si="4"/>
        <v>0.602762969</v>
      </c>
      <c r="AX80" s="5">
        <f t="shared" si="5"/>
        <v>26633.20588</v>
      </c>
    </row>
    <row r="81">
      <c r="A81" s="1" t="s">
        <v>361</v>
      </c>
      <c r="B81" s="1">
        <v>1.93539104E8</v>
      </c>
      <c r="D81" s="1">
        <v>17465.0</v>
      </c>
      <c r="E81" s="1">
        <v>18942.0</v>
      </c>
      <c r="F81" s="1">
        <v>602.24</v>
      </c>
      <c r="G81" s="1">
        <v>16.57</v>
      </c>
      <c r="H81" s="1">
        <v>360.0</v>
      </c>
      <c r="I81" s="1">
        <v>3.0</v>
      </c>
      <c r="J81" s="1">
        <v>2.0</v>
      </c>
      <c r="K81" s="1">
        <v>8.0</v>
      </c>
      <c r="L81" s="1" t="b">
        <v>0</v>
      </c>
      <c r="M81" s="1" t="b">
        <v>0</v>
      </c>
      <c r="N81" s="1" t="b">
        <v>0</v>
      </c>
      <c r="O81" s="1" t="b">
        <v>1</v>
      </c>
      <c r="P81" s="1" t="b">
        <v>1</v>
      </c>
      <c r="Q81" s="1" t="b">
        <v>0</v>
      </c>
      <c r="R81" s="1" t="b">
        <v>0</v>
      </c>
      <c r="S81" s="1" t="s">
        <v>51</v>
      </c>
      <c r="T81" s="1" t="s">
        <v>362</v>
      </c>
      <c r="U81" s="1" t="s">
        <v>53</v>
      </c>
      <c r="V81" s="1">
        <v>4.9</v>
      </c>
      <c r="W81" s="1">
        <v>87.0</v>
      </c>
      <c r="X81" s="1">
        <v>2.0</v>
      </c>
      <c r="Y81" s="1">
        <v>1.0</v>
      </c>
      <c r="Z81" s="1" t="s">
        <v>54</v>
      </c>
      <c r="AA81" s="1" t="b">
        <v>0</v>
      </c>
      <c r="AB81" s="1">
        <v>200.0</v>
      </c>
      <c r="AC81" s="1" t="b">
        <v>0</v>
      </c>
      <c r="AD81" s="1">
        <v>29.0</v>
      </c>
      <c r="AE81" s="1">
        <v>8.0</v>
      </c>
      <c r="AF81" s="3">
        <v>46155.0</v>
      </c>
      <c r="AG81" s="1" t="s">
        <v>55</v>
      </c>
      <c r="AH81" s="1" t="s">
        <v>56</v>
      </c>
      <c r="AI81" s="1" t="s">
        <v>56</v>
      </c>
      <c r="AJ81" s="1" t="s">
        <v>58</v>
      </c>
      <c r="AK81" s="1">
        <v>81623.0</v>
      </c>
      <c r="AL81" s="1" t="s">
        <v>59</v>
      </c>
      <c r="AM81" s="1" t="s">
        <v>60</v>
      </c>
      <c r="AN81" s="4" t="s">
        <v>363</v>
      </c>
      <c r="AO81" s="4" t="s">
        <v>364</v>
      </c>
      <c r="AP81" s="1">
        <v>2.5741218E7</v>
      </c>
      <c r="AR81" s="1">
        <v>39.07157</v>
      </c>
      <c r="AS81" s="1">
        <v>-107.18631</v>
      </c>
      <c r="AT81" s="5">
        <f t="shared" si="1"/>
        <v>41.81394958</v>
      </c>
      <c r="AU81" s="5">
        <f t="shared" si="2"/>
        <v>44185.20588</v>
      </c>
      <c r="AV81" s="5">
        <f t="shared" si="3"/>
        <v>0.6037207638</v>
      </c>
      <c r="AW81" s="5">
        <f t="shared" si="4"/>
        <v>0.6047319538</v>
      </c>
      <c r="AX81" s="5">
        <f t="shared" si="5"/>
        <v>26720.20588</v>
      </c>
    </row>
    <row r="82">
      <c r="A82" s="1" t="s">
        <v>365</v>
      </c>
      <c r="B82" s="1">
        <v>1.59038139E8</v>
      </c>
      <c r="D82" s="1">
        <v>17351.0</v>
      </c>
      <c r="E82" s="1">
        <v>19960.0</v>
      </c>
      <c r="F82" s="1">
        <v>578.37</v>
      </c>
      <c r="G82" s="1">
        <v>26.55</v>
      </c>
      <c r="H82" s="1">
        <v>203.0</v>
      </c>
      <c r="I82" s="1">
        <v>2.0</v>
      </c>
      <c r="J82" s="1">
        <v>2.0</v>
      </c>
      <c r="K82" s="1">
        <v>5.0</v>
      </c>
      <c r="L82" s="1" t="b">
        <v>0</v>
      </c>
      <c r="M82" s="1" t="b">
        <v>0</v>
      </c>
      <c r="N82" s="1" t="b">
        <v>0</v>
      </c>
      <c r="O82" s="1" t="b">
        <v>1</v>
      </c>
      <c r="P82" s="1" t="b">
        <v>1</v>
      </c>
      <c r="Q82" s="1" t="b">
        <v>1</v>
      </c>
      <c r="R82" s="1" t="b">
        <v>0</v>
      </c>
      <c r="S82" s="1" t="s">
        <v>51</v>
      </c>
      <c r="T82" s="1" t="s">
        <v>65</v>
      </c>
      <c r="U82" s="1" t="s">
        <v>53</v>
      </c>
      <c r="V82" s="1">
        <v>5.0</v>
      </c>
      <c r="W82" s="1">
        <v>6.0</v>
      </c>
      <c r="X82" s="1">
        <v>3.0</v>
      </c>
      <c r="Y82" s="2">
        <v>46193.0</v>
      </c>
      <c r="Z82" s="1" t="s">
        <v>54</v>
      </c>
      <c r="AA82" s="1" t="b">
        <v>1</v>
      </c>
      <c r="AB82" s="1">
        <v>200.0</v>
      </c>
      <c r="AC82" s="1" t="b">
        <v>0</v>
      </c>
      <c r="AD82" s="1">
        <v>30.0</v>
      </c>
      <c r="AE82" s="1">
        <v>7.0</v>
      </c>
      <c r="AF82" s="3">
        <v>46153.0</v>
      </c>
      <c r="AG82" s="1" t="s">
        <v>55</v>
      </c>
      <c r="AH82" s="1" t="s">
        <v>56</v>
      </c>
      <c r="AI82" s="1" t="s">
        <v>72</v>
      </c>
      <c r="AJ82" s="1" t="s">
        <v>58</v>
      </c>
      <c r="AK82" s="1">
        <v>81621.0</v>
      </c>
      <c r="AL82" s="1" t="s">
        <v>59</v>
      </c>
      <c r="AM82" s="1" t="s">
        <v>60</v>
      </c>
      <c r="AN82" s="4" t="s">
        <v>366</v>
      </c>
      <c r="AO82" s="4" t="s">
        <v>367</v>
      </c>
      <c r="AP82" s="1" t="s">
        <v>368</v>
      </c>
      <c r="AQ82" s="1">
        <v>4917512.0</v>
      </c>
      <c r="AR82" s="1">
        <v>39.36204</v>
      </c>
      <c r="AS82" s="1">
        <v>-107.0281</v>
      </c>
      <c r="AT82" s="5">
        <f t="shared" si="1"/>
        <v>41.81394958</v>
      </c>
      <c r="AU82" s="5">
        <f t="shared" si="2"/>
        <v>44185.20588</v>
      </c>
      <c r="AV82" s="5">
        <f t="shared" si="3"/>
        <v>0.3650444345</v>
      </c>
      <c r="AW82" s="5">
        <f t="shared" si="4"/>
        <v>0.6073120029</v>
      </c>
      <c r="AX82" s="5">
        <f t="shared" si="5"/>
        <v>26834.20588</v>
      </c>
    </row>
    <row r="83">
      <c r="A83" s="1" t="s">
        <v>369</v>
      </c>
      <c r="B83" s="1">
        <v>6188548.0</v>
      </c>
      <c r="D83" s="1">
        <v>17086.0</v>
      </c>
      <c r="E83" s="1">
        <v>17231.0</v>
      </c>
      <c r="F83" s="1">
        <v>341.72</v>
      </c>
      <c r="G83" s="1">
        <v>24.39</v>
      </c>
      <c r="H83" s="1">
        <v>300.0</v>
      </c>
      <c r="I83" s="1">
        <v>1.0</v>
      </c>
      <c r="J83" s="1">
        <v>1.0</v>
      </c>
      <c r="K83" s="1">
        <v>2.0</v>
      </c>
      <c r="L83" s="1" t="b">
        <v>0</v>
      </c>
      <c r="M83" s="1" t="b">
        <v>0</v>
      </c>
      <c r="N83" s="1" t="b">
        <v>0</v>
      </c>
      <c r="O83" s="1" t="b">
        <v>1</v>
      </c>
      <c r="P83" s="1" t="b">
        <v>1</v>
      </c>
      <c r="Q83" s="1" t="b">
        <v>0</v>
      </c>
      <c r="R83" s="1" t="b">
        <v>0</v>
      </c>
      <c r="S83" s="1" t="s">
        <v>51</v>
      </c>
      <c r="T83" s="1" t="s">
        <v>137</v>
      </c>
      <c r="U83" s="1" t="s">
        <v>53</v>
      </c>
      <c r="V83" s="1">
        <v>5.0</v>
      </c>
      <c r="W83" s="1">
        <v>169.0</v>
      </c>
      <c r="X83" s="1">
        <v>2.0</v>
      </c>
      <c r="Y83" s="1">
        <v>1.0</v>
      </c>
      <c r="Z83" s="1" t="s">
        <v>54</v>
      </c>
      <c r="AA83" s="1" t="b">
        <v>1</v>
      </c>
      <c r="AB83" s="1">
        <v>100.0</v>
      </c>
      <c r="AC83" s="1" t="b">
        <v>0</v>
      </c>
      <c r="AD83" s="1">
        <v>50.0</v>
      </c>
      <c r="AE83" s="1">
        <v>14.0</v>
      </c>
      <c r="AF83" s="3">
        <v>46155.0</v>
      </c>
      <c r="AG83" s="1" t="s">
        <v>55</v>
      </c>
      <c r="AH83" s="1" t="s">
        <v>56</v>
      </c>
      <c r="AI83" s="1" t="s">
        <v>56</v>
      </c>
      <c r="AJ83" s="1" t="s">
        <v>58</v>
      </c>
      <c r="AK83" s="1">
        <v>81623.0</v>
      </c>
      <c r="AL83" s="1" t="s">
        <v>59</v>
      </c>
      <c r="AM83" s="1" t="s">
        <v>60</v>
      </c>
      <c r="AN83" s="4" t="s">
        <v>370</v>
      </c>
      <c r="AO83" s="4" t="s">
        <v>371</v>
      </c>
      <c r="AP83" s="1">
        <v>1.8584645E7</v>
      </c>
      <c r="AR83" s="1">
        <v>39.08395</v>
      </c>
      <c r="AS83" s="1">
        <v>-107.1784</v>
      </c>
      <c r="AT83" s="5">
        <f t="shared" si="1"/>
        <v>41.81394958</v>
      </c>
      <c r="AU83" s="5">
        <f t="shared" si="2"/>
        <v>44185.20588</v>
      </c>
      <c r="AV83" s="5">
        <f t="shared" si="3"/>
        <v>0.4167018365</v>
      </c>
      <c r="AW83" s="5">
        <f t="shared" si="4"/>
        <v>0.6133094854</v>
      </c>
      <c r="AX83" s="5">
        <f t="shared" si="5"/>
        <v>27099.20588</v>
      </c>
    </row>
    <row r="84">
      <c r="A84" s="1" t="s">
        <v>372</v>
      </c>
      <c r="B84" s="1">
        <v>3.0392048E7</v>
      </c>
      <c r="D84" s="1">
        <v>16595.0</v>
      </c>
      <c r="E84" s="1">
        <v>20338.0</v>
      </c>
      <c r="F84" s="1">
        <v>197.56</v>
      </c>
      <c r="G84" s="1">
        <v>60.0</v>
      </c>
      <c r="H84" s="1">
        <v>176.0</v>
      </c>
      <c r="I84" s="1">
        <v>1.0</v>
      </c>
      <c r="J84" s="1">
        <v>1.0</v>
      </c>
      <c r="K84" s="1">
        <v>2.0</v>
      </c>
      <c r="L84" s="1" t="b">
        <v>1</v>
      </c>
      <c r="M84" s="1" t="b">
        <v>0</v>
      </c>
      <c r="N84" s="1" t="b">
        <v>0</v>
      </c>
      <c r="O84" s="1" t="b">
        <v>1</v>
      </c>
      <c r="P84" s="1" t="b">
        <v>1</v>
      </c>
      <c r="Q84" s="1" t="b">
        <v>1</v>
      </c>
      <c r="R84" s="1" t="b">
        <v>0</v>
      </c>
      <c r="S84" s="1" t="s">
        <v>51</v>
      </c>
      <c r="T84" s="1" t="s">
        <v>65</v>
      </c>
      <c r="U84" s="1" t="s">
        <v>53</v>
      </c>
      <c r="V84" s="1">
        <v>5.0</v>
      </c>
      <c r="W84" s="1">
        <v>1.0</v>
      </c>
      <c r="X84" s="1">
        <v>14.0</v>
      </c>
      <c r="Y84" s="2">
        <v>46193.0</v>
      </c>
      <c r="Z84" s="1" t="s">
        <v>54</v>
      </c>
      <c r="AA84" s="1" t="b">
        <v>0</v>
      </c>
      <c r="AB84" s="1">
        <v>150.0</v>
      </c>
      <c r="AC84" s="1" t="b">
        <v>0</v>
      </c>
      <c r="AD84" s="1">
        <v>84.0</v>
      </c>
      <c r="AE84" s="1">
        <v>4.0</v>
      </c>
      <c r="AF84" s="3">
        <v>46153.0</v>
      </c>
      <c r="AG84" s="1" t="s">
        <v>55</v>
      </c>
      <c r="AH84" s="1" t="s">
        <v>56</v>
      </c>
      <c r="AI84" s="1" t="s">
        <v>56</v>
      </c>
      <c r="AJ84" s="1" t="s">
        <v>58</v>
      </c>
      <c r="AK84" s="1">
        <v>81623.0</v>
      </c>
      <c r="AL84" s="1" t="s">
        <v>59</v>
      </c>
      <c r="AM84" s="1" t="s">
        <v>60</v>
      </c>
      <c r="AN84" s="4" t="s">
        <v>373</v>
      </c>
      <c r="AO84" s="4" t="s">
        <v>374</v>
      </c>
      <c r="AP84" s="1" t="s">
        <v>375</v>
      </c>
      <c r="AR84" s="1">
        <v>39.4064888972</v>
      </c>
      <c r="AS84" s="1">
        <v>-107.2157955938</v>
      </c>
      <c r="AT84" s="5">
        <f t="shared" si="1"/>
        <v>41.81394958</v>
      </c>
      <c r="AU84" s="5">
        <f t="shared" si="2"/>
        <v>44185.20588</v>
      </c>
      <c r="AV84" s="5">
        <f t="shared" si="3"/>
        <v>-0.4349278316</v>
      </c>
      <c r="AW84" s="5">
        <f t="shared" si="4"/>
        <v>0.6244218021</v>
      </c>
      <c r="AX84" s="5">
        <f t="shared" si="5"/>
        <v>27590.20588</v>
      </c>
    </row>
    <row r="85">
      <c r="A85" s="1" t="s">
        <v>376</v>
      </c>
      <c r="B85" s="1">
        <v>4.87197635E8</v>
      </c>
      <c r="D85" s="1">
        <v>13812.0</v>
      </c>
      <c r="E85" s="1">
        <v>15669.0</v>
      </c>
      <c r="F85" s="1">
        <v>354.15</v>
      </c>
      <c r="G85" s="1">
        <v>17.73</v>
      </c>
      <c r="H85" s="1">
        <v>318.0</v>
      </c>
      <c r="I85" s="1">
        <v>2.0</v>
      </c>
      <c r="J85" s="1">
        <v>1.0</v>
      </c>
      <c r="K85" s="1">
        <v>6.0</v>
      </c>
      <c r="L85" s="1" t="b">
        <v>0</v>
      </c>
      <c r="M85" s="1" t="b">
        <v>1</v>
      </c>
      <c r="N85" s="1" t="b">
        <v>0</v>
      </c>
      <c r="O85" s="1" t="b">
        <v>1</v>
      </c>
      <c r="P85" s="1" t="b">
        <v>1</v>
      </c>
      <c r="Q85" s="1" t="b">
        <v>1</v>
      </c>
      <c r="R85" s="1" t="b">
        <v>0</v>
      </c>
      <c r="S85" s="1" t="s">
        <v>51</v>
      </c>
      <c r="T85" s="1" t="s">
        <v>137</v>
      </c>
      <c r="U85" s="1" t="s">
        <v>53</v>
      </c>
      <c r="V85" s="1">
        <v>5.0</v>
      </c>
      <c r="W85" s="1">
        <v>2.0</v>
      </c>
      <c r="X85" s="1">
        <v>2.0</v>
      </c>
      <c r="Y85" s="2">
        <v>46193.0</v>
      </c>
      <c r="Z85" s="1" t="s">
        <v>54</v>
      </c>
      <c r="AA85" s="1" t="b">
        <v>0</v>
      </c>
      <c r="AB85" s="1">
        <v>0.0</v>
      </c>
      <c r="AC85" s="1" t="b">
        <v>1</v>
      </c>
      <c r="AD85" s="1">
        <v>39.0</v>
      </c>
      <c r="AE85" s="1">
        <v>15.0</v>
      </c>
      <c r="AF85" s="3">
        <v>46158.0</v>
      </c>
      <c r="AG85" s="1" t="s">
        <v>55</v>
      </c>
      <c r="AH85" s="1" t="s">
        <v>56</v>
      </c>
      <c r="AI85" s="1" t="s">
        <v>377</v>
      </c>
      <c r="AJ85" s="1" t="s">
        <v>58</v>
      </c>
      <c r="AK85" s="1">
        <v>81434.0</v>
      </c>
      <c r="AL85" s="1" t="s">
        <v>59</v>
      </c>
      <c r="AM85" s="1" t="s">
        <v>60</v>
      </c>
      <c r="AN85" s="4" t="s">
        <v>378</v>
      </c>
      <c r="AO85" s="4" t="s">
        <v>379</v>
      </c>
      <c r="AP85" s="1" t="s">
        <v>380</v>
      </c>
      <c r="AR85" s="1">
        <v>38.9381</v>
      </c>
      <c r="AS85" s="1">
        <v>-107.358</v>
      </c>
      <c r="AT85" s="5">
        <f t="shared" si="1"/>
        <v>41.81394958</v>
      </c>
      <c r="AU85" s="5">
        <f t="shared" si="2"/>
        <v>44185.20588</v>
      </c>
      <c r="AV85" s="5">
        <f t="shared" si="3"/>
        <v>0.5759788258</v>
      </c>
      <c r="AW85" s="5">
        <f t="shared" si="4"/>
        <v>0.6874066846</v>
      </c>
      <c r="AX85" s="5">
        <f t="shared" si="5"/>
        <v>30373.20588</v>
      </c>
    </row>
    <row r="86">
      <c r="A86" s="1" t="s">
        <v>381</v>
      </c>
      <c r="B86" s="1">
        <v>1.9835677E7</v>
      </c>
      <c r="D86" s="1">
        <v>12785.0</v>
      </c>
      <c r="E86" s="1">
        <v>15047.0</v>
      </c>
      <c r="F86" s="1">
        <v>311.83</v>
      </c>
      <c r="G86" s="1">
        <v>29.29</v>
      </c>
      <c r="H86" s="1">
        <v>251.0</v>
      </c>
      <c r="I86" s="1">
        <v>1.0</v>
      </c>
      <c r="J86" s="1">
        <v>1.0</v>
      </c>
      <c r="K86" s="1">
        <v>4.0</v>
      </c>
      <c r="L86" s="1" t="b">
        <v>0</v>
      </c>
      <c r="M86" s="1" t="b">
        <v>0</v>
      </c>
      <c r="N86" s="1" t="b">
        <v>0</v>
      </c>
      <c r="O86" s="1" t="b">
        <v>0</v>
      </c>
      <c r="P86" s="1" t="b">
        <v>1</v>
      </c>
      <c r="Q86" s="1" t="b">
        <v>1</v>
      </c>
      <c r="R86" s="1" t="b">
        <v>0</v>
      </c>
      <c r="S86" s="1" t="s">
        <v>51</v>
      </c>
      <c r="T86" s="1" t="s">
        <v>382</v>
      </c>
      <c r="U86" s="1" t="s">
        <v>257</v>
      </c>
      <c r="V86" s="1">
        <v>4.9</v>
      </c>
      <c r="W86" s="1">
        <v>125.0</v>
      </c>
      <c r="X86" s="1">
        <v>2.0</v>
      </c>
      <c r="Y86" s="2">
        <v>46193.0</v>
      </c>
      <c r="Z86" s="1" t="s">
        <v>54</v>
      </c>
      <c r="AA86" s="1" t="b">
        <v>1</v>
      </c>
      <c r="AB86" s="1">
        <v>100.0</v>
      </c>
      <c r="AC86" s="1" t="b">
        <v>1</v>
      </c>
      <c r="AD86" s="1">
        <v>41.0</v>
      </c>
      <c r="AE86" s="1">
        <v>16.0</v>
      </c>
      <c r="AF86" s="3">
        <v>46155.0</v>
      </c>
      <c r="AG86" s="1" t="s">
        <v>55</v>
      </c>
      <c r="AH86" s="1" t="s">
        <v>56</v>
      </c>
      <c r="AI86" s="1" t="s">
        <v>56</v>
      </c>
      <c r="AJ86" s="1" t="s">
        <v>58</v>
      </c>
      <c r="AK86" s="1">
        <v>81623.0</v>
      </c>
      <c r="AL86" s="1" t="s">
        <v>59</v>
      </c>
      <c r="AM86" s="1" t="s">
        <v>60</v>
      </c>
      <c r="AN86" s="4" t="s">
        <v>383</v>
      </c>
      <c r="AO86" s="4" t="s">
        <v>384</v>
      </c>
      <c r="AP86" s="1">
        <v>1.3376549E7</v>
      </c>
      <c r="AQ86" s="1">
        <v>5008579.0</v>
      </c>
      <c r="AR86" s="1">
        <v>39.45197</v>
      </c>
      <c r="AS86" s="1">
        <v>-107.17346</v>
      </c>
      <c r="AT86" s="5">
        <f t="shared" si="1"/>
        <v>41.81394958</v>
      </c>
      <c r="AU86" s="5">
        <f t="shared" si="2"/>
        <v>44185.20588</v>
      </c>
      <c r="AV86" s="5">
        <f t="shared" si="3"/>
        <v>0.2995160636</v>
      </c>
      <c r="AW86" s="5">
        <f t="shared" si="4"/>
        <v>0.7106497583</v>
      </c>
      <c r="AX86" s="5">
        <f t="shared" si="5"/>
        <v>31400.20588</v>
      </c>
    </row>
    <row r="87">
      <c r="A87" s="1" t="s">
        <v>385</v>
      </c>
      <c r="B87" s="1">
        <v>2.17072558E8</v>
      </c>
      <c r="D87" s="1">
        <v>12423.0</v>
      </c>
      <c r="E87" s="1">
        <v>59185.0</v>
      </c>
      <c r="F87" s="1">
        <v>460.11</v>
      </c>
      <c r="G87" s="1">
        <v>100.0</v>
      </c>
      <c r="H87" s="1">
        <v>28.0</v>
      </c>
      <c r="I87" s="1">
        <v>2.0</v>
      </c>
      <c r="J87" s="1">
        <v>1.0</v>
      </c>
      <c r="K87" s="1">
        <v>6.0</v>
      </c>
      <c r="L87" s="1" t="b">
        <v>0</v>
      </c>
      <c r="M87" s="1" t="b">
        <v>0</v>
      </c>
      <c r="N87" s="1" t="b">
        <v>0</v>
      </c>
      <c r="O87" s="1" t="b">
        <v>1</v>
      </c>
      <c r="P87" s="1" t="b">
        <v>1</v>
      </c>
      <c r="Q87" s="1" t="b">
        <v>1</v>
      </c>
      <c r="R87" s="1" t="b">
        <v>0</v>
      </c>
      <c r="S87" s="1" t="s">
        <v>51</v>
      </c>
      <c r="T87" s="1" t="s">
        <v>65</v>
      </c>
      <c r="U87" s="1" t="s">
        <v>53</v>
      </c>
      <c r="V87" s="1">
        <v>5.0</v>
      </c>
      <c r="W87" s="1">
        <v>78.0</v>
      </c>
      <c r="X87" s="1">
        <v>3.0</v>
      </c>
      <c r="Y87" s="2">
        <v>46193.0</v>
      </c>
      <c r="Z87" s="1" t="s">
        <v>54</v>
      </c>
      <c r="AA87" s="1" t="b">
        <v>1</v>
      </c>
      <c r="AB87" s="1">
        <v>251.0</v>
      </c>
      <c r="AC87" s="1" t="b">
        <v>0</v>
      </c>
      <c r="AD87" s="1">
        <v>27.0</v>
      </c>
      <c r="AE87" s="1">
        <v>6.0</v>
      </c>
      <c r="AF87" s="3">
        <v>46155.0</v>
      </c>
      <c r="AG87" s="1" t="s">
        <v>55</v>
      </c>
      <c r="AH87" s="1" t="s">
        <v>56</v>
      </c>
      <c r="AI87" s="1" t="s">
        <v>56</v>
      </c>
      <c r="AJ87" s="1" t="s">
        <v>58</v>
      </c>
      <c r="AK87" s="1">
        <v>81623.0</v>
      </c>
      <c r="AL87" s="1" t="s">
        <v>59</v>
      </c>
      <c r="AM87" s="1" t="s">
        <v>60</v>
      </c>
      <c r="AN87" s="4" t="s">
        <v>386</v>
      </c>
      <c r="AO87" s="4" t="s">
        <v>387</v>
      </c>
      <c r="AP87" s="1">
        <v>4.3449332E7</v>
      </c>
      <c r="AQ87" s="1">
        <v>714530.0</v>
      </c>
      <c r="AR87" s="1">
        <v>39.07679</v>
      </c>
      <c r="AS87" s="1">
        <v>-107.22681</v>
      </c>
      <c r="AT87" s="5">
        <f t="shared" si="1"/>
        <v>41.81394958</v>
      </c>
      <c r="AU87" s="5">
        <f t="shared" si="2"/>
        <v>44185.20588</v>
      </c>
      <c r="AV87" s="5">
        <f t="shared" si="3"/>
        <v>-1.391546386</v>
      </c>
      <c r="AW87" s="5">
        <f t="shared" si="4"/>
        <v>0.7188425458</v>
      </c>
      <c r="AX87" s="5">
        <f t="shared" si="5"/>
        <v>31762.20588</v>
      </c>
    </row>
    <row r="88">
      <c r="A88" s="1" t="s">
        <v>388</v>
      </c>
      <c r="B88" s="1">
        <v>2.0417096E7</v>
      </c>
      <c r="D88" s="1">
        <v>12239.0</v>
      </c>
      <c r="E88" s="1">
        <v>13383.0</v>
      </c>
      <c r="F88" s="1">
        <v>330.78</v>
      </c>
      <c r="G88" s="1">
        <v>29.13</v>
      </c>
      <c r="H88" s="1">
        <v>191.0</v>
      </c>
      <c r="I88" s="1">
        <v>2.0</v>
      </c>
      <c r="J88" s="1">
        <v>2.0</v>
      </c>
      <c r="K88" s="1">
        <v>4.0</v>
      </c>
      <c r="L88" s="1" t="b">
        <v>1</v>
      </c>
      <c r="M88" s="1" t="b">
        <v>0</v>
      </c>
      <c r="N88" s="1" t="b">
        <v>0</v>
      </c>
      <c r="O88" s="1" t="b">
        <v>1</v>
      </c>
      <c r="P88" s="1" t="b">
        <v>1</v>
      </c>
      <c r="Q88" s="1" t="b">
        <v>0</v>
      </c>
      <c r="R88" s="1" t="b">
        <v>0</v>
      </c>
      <c r="S88" s="1" t="s">
        <v>51</v>
      </c>
      <c r="T88" s="1" t="s">
        <v>287</v>
      </c>
      <c r="U88" s="1" t="s">
        <v>164</v>
      </c>
      <c r="V88" s="1">
        <v>5.0</v>
      </c>
      <c r="W88" s="1">
        <v>13.0</v>
      </c>
      <c r="X88" s="1">
        <v>3.0</v>
      </c>
      <c r="Y88" s="2">
        <v>46058.0</v>
      </c>
      <c r="Z88" s="1" t="s">
        <v>54</v>
      </c>
      <c r="AA88" s="1" t="b">
        <v>1</v>
      </c>
      <c r="AB88" s="1">
        <v>150.0</v>
      </c>
      <c r="AC88" s="1" t="b">
        <v>0</v>
      </c>
      <c r="AD88" s="1">
        <v>37.0</v>
      </c>
      <c r="AE88" s="1">
        <v>9.0</v>
      </c>
      <c r="AF88" s="3">
        <v>46157.0</v>
      </c>
      <c r="AG88" s="1" t="s">
        <v>55</v>
      </c>
      <c r="AH88" s="1" t="s">
        <v>56</v>
      </c>
      <c r="AI88" s="1" t="s">
        <v>56</v>
      </c>
      <c r="AJ88" s="1" t="s">
        <v>58</v>
      </c>
      <c r="AK88" s="1">
        <v>81623.0</v>
      </c>
      <c r="AL88" s="1" t="s">
        <v>59</v>
      </c>
      <c r="AM88" s="1" t="s">
        <v>60</v>
      </c>
      <c r="AN88" s="4" t="s">
        <v>389</v>
      </c>
      <c r="AO88" s="4" t="s">
        <v>390</v>
      </c>
      <c r="AP88" s="1" t="s">
        <v>391</v>
      </c>
      <c r="AR88" s="1">
        <v>39.41173</v>
      </c>
      <c r="AS88" s="1">
        <v>-107.2241</v>
      </c>
      <c r="AT88" s="5">
        <f t="shared" si="1"/>
        <v>41.81394958</v>
      </c>
      <c r="AU88" s="5">
        <f t="shared" si="2"/>
        <v>44185.20588</v>
      </c>
      <c r="AV88" s="5">
        <f t="shared" si="3"/>
        <v>0.3033425378</v>
      </c>
      <c r="AW88" s="5">
        <f t="shared" si="4"/>
        <v>0.7230068355</v>
      </c>
      <c r="AX88" s="5">
        <f t="shared" si="5"/>
        <v>31946.20588</v>
      </c>
    </row>
    <row r="89">
      <c r="A89" s="1" t="s">
        <v>392</v>
      </c>
      <c r="B89" s="1" t="s">
        <v>393</v>
      </c>
      <c r="D89" s="1">
        <v>11978.0</v>
      </c>
      <c r="E89" s="1">
        <v>29859.0</v>
      </c>
      <c r="F89" s="1">
        <v>299.45</v>
      </c>
      <c r="G89" s="1">
        <v>88.89</v>
      </c>
      <c r="H89" s="1">
        <v>60.0</v>
      </c>
      <c r="I89" s="1">
        <v>1.0</v>
      </c>
      <c r="J89" s="1">
        <v>1.0</v>
      </c>
      <c r="K89" s="1">
        <v>2.0</v>
      </c>
      <c r="L89" s="1" t="b">
        <v>0</v>
      </c>
      <c r="M89" s="1" t="b">
        <v>0</v>
      </c>
      <c r="N89" s="1" t="b">
        <v>0</v>
      </c>
      <c r="O89" s="1" t="b">
        <v>1</v>
      </c>
      <c r="P89" s="1" t="b">
        <v>0</v>
      </c>
      <c r="Q89" s="1" t="b">
        <v>1</v>
      </c>
      <c r="R89" s="1" t="b">
        <v>0</v>
      </c>
      <c r="S89" s="1" t="s">
        <v>51</v>
      </c>
      <c r="T89" s="1" t="s">
        <v>137</v>
      </c>
      <c r="U89" s="1" t="s">
        <v>53</v>
      </c>
      <c r="V89" s="1">
        <v>0.0</v>
      </c>
      <c r="W89" s="1">
        <v>0.0</v>
      </c>
      <c r="X89" s="1">
        <v>2.0</v>
      </c>
      <c r="Y89" s="1" t="s">
        <v>71</v>
      </c>
      <c r="Z89" s="1" t="s">
        <v>54</v>
      </c>
      <c r="AA89" s="1" t="b">
        <v>0</v>
      </c>
      <c r="AB89" s="1">
        <v>0.0</v>
      </c>
      <c r="AC89" s="1" t="b">
        <v>0</v>
      </c>
      <c r="AD89" s="1">
        <v>40.0</v>
      </c>
      <c r="AE89" s="1">
        <v>30.0</v>
      </c>
      <c r="AF89" s="3">
        <v>46157.0</v>
      </c>
      <c r="AG89" s="1" t="s">
        <v>55</v>
      </c>
      <c r="AH89" s="1" t="s">
        <v>56</v>
      </c>
      <c r="AI89" s="1" t="s">
        <v>56</v>
      </c>
      <c r="AJ89" s="1" t="s">
        <v>58</v>
      </c>
      <c r="AK89" s="1">
        <v>81623.0</v>
      </c>
      <c r="AL89" s="1" t="s">
        <v>59</v>
      </c>
      <c r="AM89" s="1" t="s">
        <v>60</v>
      </c>
      <c r="AN89" s="4" t="s">
        <v>394</v>
      </c>
      <c r="AO89" s="4" t="s">
        <v>395</v>
      </c>
      <c r="AQ89" s="1">
        <v>4984393.0</v>
      </c>
      <c r="AR89" s="1">
        <v>39.452516</v>
      </c>
      <c r="AS89" s="1">
        <v>-107.172559</v>
      </c>
      <c r="AT89" s="5">
        <f t="shared" si="1"/>
        <v>41.81394958</v>
      </c>
      <c r="AU89" s="5">
        <f t="shared" si="2"/>
        <v>44185.20588</v>
      </c>
      <c r="AV89" s="5">
        <f t="shared" si="3"/>
        <v>-1.125845582</v>
      </c>
      <c r="AW89" s="5">
        <f t="shared" si="4"/>
        <v>0.72891379</v>
      </c>
      <c r="AX89" s="5">
        <f t="shared" si="5"/>
        <v>32207.20588</v>
      </c>
    </row>
    <row r="90">
      <c r="A90" s="1" t="s">
        <v>396</v>
      </c>
      <c r="B90" s="1">
        <v>1.9835677E7</v>
      </c>
      <c r="D90" s="1">
        <v>11512.0</v>
      </c>
      <c r="E90" s="1">
        <v>14544.0</v>
      </c>
      <c r="F90" s="1">
        <v>311.14</v>
      </c>
      <c r="G90" s="1">
        <v>28.03</v>
      </c>
      <c r="H90" s="1">
        <v>254.0</v>
      </c>
      <c r="I90" s="1">
        <v>1.0</v>
      </c>
      <c r="J90" s="1">
        <v>1.0</v>
      </c>
      <c r="K90" s="1">
        <v>4.0</v>
      </c>
      <c r="L90" s="1" t="b">
        <v>0</v>
      </c>
      <c r="M90" s="1" t="b">
        <v>0</v>
      </c>
      <c r="N90" s="1" t="b">
        <v>0</v>
      </c>
      <c r="O90" s="1" t="b">
        <v>1</v>
      </c>
      <c r="P90" s="1" t="b">
        <v>1</v>
      </c>
      <c r="Q90" s="1" t="b">
        <v>1</v>
      </c>
      <c r="R90" s="1" t="b">
        <v>0</v>
      </c>
      <c r="S90" s="1" t="s">
        <v>51</v>
      </c>
      <c r="T90" s="1" t="s">
        <v>382</v>
      </c>
      <c r="U90" s="1" t="s">
        <v>257</v>
      </c>
      <c r="V90" s="1">
        <v>4.75</v>
      </c>
      <c r="W90" s="1">
        <v>40.0</v>
      </c>
      <c r="X90" s="1">
        <v>2.0</v>
      </c>
      <c r="Y90" s="2">
        <v>46193.0</v>
      </c>
      <c r="Z90" s="1" t="s">
        <v>54</v>
      </c>
      <c r="AA90" s="1" t="b">
        <v>1</v>
      </c>
      <c r="AB90" s="1">
        <v>100.0</v>
      </c>
      <c r="AC90" s="1" t="b">
        <v>1</v>
      </c>
      <c r="AD90" s="1">
        <v>37.0</v>
      </c>
      <c r="AE90" s="1">
        <v>16.0</v>
      </c>
      <c r="AF90" s="3">
        <v>46155.0</v>
      </c>
      <c r="AG90" s="1" t="s">
        <v>55</v>
      </c>
      <c r="AH90" s="1" t="s">
        <v>56</v>
      </c>
      <c r="AI90" s="1" t="s">
        <v>56</v>
      </c>
      <c r="AJ90" s="1" t="s">
        <v>58</v>
      </c>
      <c r="AK90" s="1">
        <v>81623.0</v>
      </c>
      <c r="AL90" s="1" t="s">
        <v>59</v>
      </c>
      <c r="AM90" s="1" t="s">
        <v>60</v>
      </c>
      <c r="AN90" s="4" t="s">
        <v>397</v>
      </c>
      <c r="AO90" s="4" t="s">
        <v>398</v>
      </c>
      <c r="AP90" s="1">
        <v>2.674079E7</v>
      </c>
      <c r="AQ90" s="1">
        <v>5008582.0</v>
      </c>
      <c r="AR90" s="1">
        <v>39.44984</v>
      </c>
      <c r="AS90" s="1">
        <v>-107.16879</v>
      </c>
      <c r="AT90" s="5">
        <f t="shared" si="1"/>
        <v>41.81394958</v>
      </c>
      <c r="AU90" s="5">
        <f t="shared" si="2"/>
        <v>44185.20588</v>
      </c>
      <c r="AV90" s="5">
        <f t="shared" si="3"/>
        <v>0.329649548</v>
      </c>
      <c r="AW90" s="5">
        <f t="shared" si="4"/>
        <v>0.7394603065</v>
      </c>
      <c r="AX90" s="5">
        <f t="shared" si="5"/>
        <v>32673.20588</v>
      </c>
    </row>
    <row r="91">
      <c r="A91" s="1" t="s">
        <v>399</v>
      </c>
      <c r="B91" s="1">
        <v>2.0899549E7</v>
      </c>
      <c r="D91" s="1">
        <v>10974.0</v>
      </c>
      <c r="E91" s="1">
        <v>24085.0</v>
      </c>
      <c r="F91" s="1">
        <v>223.96</v>
      </c>
      <c r="G91" s="1">
        <v>69.01</v>
      </c>
      <c r="H91" s="1">
        <v>83.0</v>
      </c>
      <c r="I91" s="1">
        <v>1.0</v>
      </c>
      <c r="J91" s="1">
        <v>1.0</v>
      </c>
      <c r="K91" s="1">
        <v>4.0</v>
      </c>
      <c r="L91" s="1" t="b">
        <v>0</v>
      </c>
      <c r="M91" s="1" t="b">
        <v>0</v>
      </c>
      <c r="N91" s="1" t="b">
        <v>0</v>
      </c>
      <c r="O91" s="1" t="b">
        <v>1</v>
      </c>
      <c r="P91" s="1" t="b">
        <v>1</v>
      </c>
      <c r="Q91" s="1" t="b">
        <v>1</v>
      </c>
      <c r="R91" s="1" t="b">
        <v>0</v>
      </c>
      <c r="S91" s="1" t="s">
        <v>51</v>
      </c>
      <c r="T91" s="1" t="s">
        <v>137</v>
      </c>
      <c r="U91" s="1" t="s">
        <v>53</v>
      </c>
      <c r="V91" s="1">
        <v>0.0</v>
      </c>
      <c r="W91" s="1">
        <v>0.0</v>
      </c>
      <c r="X91" s="1">
        <v>2.0</v>
      </c>
      <c r="Y91" s="2">
        <v>46193.0</v>
      </c>
      <c r="Z91" s="1" t="s">
        <v>54</v>
      </c>
      <c r="AA91" s="1" t="b">
        <v>1</v>
      </c>
      <c r="AB91" s="1">
        <v>0.0</v>
      </c>
      <c r="AC91" s="1" t="b">
        <v>1</v>
      </c>
      <c r="AD91" s="1">
        <v>49.0</v>
      </c>
      <c r="AE91" s="1">
        <v>19.0</v>
      </c>
      <c r="AF91" s="3">
        <v>46156.0</v>
      </c>
      <c r="AG91" s="1" t="s">
        <v>55</v>
      </c>
      <c r="AH91" s="1" t="s">
        <v>56</v>
      </c>
      <c r="AI91" s="1" t="s">
        <v>56</v>
      </c>
      <c r="AJ91" s="1" t="s">
        <v>58</v>
      </c>
      <c r="AK91" s="1">
        <v>81623.0</v>
      </c>
      <c r="AL91" s="1" t="s">
        <v>59</v>
      </c>
      <c r="AM91" s="1" t="s">
        <v>60</v>
      </c>
      <c r="AN91" s="4" t="s">
        <v>400</v>
      </c>
      <c r="AO91" s="4" t="s">
        <v>401</v>
      </c>
      <c r="AP91" s="1" t="s">
        <v>402</v>
      </c>
      <c r="AR91" s="1">
        <v>39.0728</v>
      </c>
      <c r="AS91" s="1">
        <v>-107.1846</v>
      </c>
      <c r="AT91" s="5">
        <f t="shared" si="1"/>
        <v>41.81394958</v>
      </c>
      <c r="AU91" s="5">
        <f t="shared" si="2"/>
        <v>44185.20588</v>
      </c>
      <c r="AV91" s="5">
        <f t="shared" si="3"/>
        <v>-0.6504061609</v>
      </c>
      <c r="AW91" s="5">
        <f t="shared" si="4"/>
        <v>0.7516363276</v>
      </c>
      <c r="AX91" s="5">
        <f t="shared" si="5"/>
        <v>33211.20588</v>
      </c>
    </row>
    <row r="92">
      <c r="A92" s="1" t="s">
        <v>403</v>
      </c>
      <c r="B92" s="1">
        <v>4.15483134E8</v>
      </c>
      <c r="D92" s="1">
        <v>10825.0</v>
      </c>
      <c r="E92" s="1">
        <v>18796.0</v>
      </c>
      <c r="F92" s="1">
        <v>451.04</v>
      </c>
      <c r="G92" s="1">
        <v>30.77</v>
      </c>
      <c r="H92" s="1">
        <v>308.0</v>
      </c>
      <c r="I92" s="1">
        <v>2.0</v>
      </c>
      <c r="J92" s="1">
        <v>2.0</v>
      </c>
      <c r="K92" s="1">
        <v>12.0</v>
      </c>
      <c r="L92" s="1" t="b">
        <v>0</v>
      </c>
      <c r="M92" s="1" t="b">
        <v>0</v>
      </c>
      <c r="N92" s="1" t="b">
        <v>1</v>
      </c>
      <c r="O92" s="1" t="b">
        <v>1</v>
      </c>
      <c r="P92" s="1" t="b">
        <v>1</v>
      </c>
      <c r="Q92" s="1" t="b">
        <v>1</v>
      </c>
      <c r="R92" s="1" t="b">
        <v>0</v>
      </c>
      <c r="S92" s="1" t="s">
        <v>51</v>
      </c>
      <c r="T92" s="1" t="s">
        <v>137</v>
      </c>
      <c r="U92" s="1" t="s">
        <v>53</v>
      </c>
      <c r="V92" s="1">
        <v>4.95</v>
      </c>
      <c r="W92" s="1">
        <v>31.0</v>
      </c>
      <c r="X92" s="1">
        <v>2.0</v>
      </c>
      <c r="Y92" s="1">
        <v>1.0</v>
      </c>
      <c r="Z92" s="1" t="s">
        <v>54</v>
      </c>
      <c r="AA92" s="1" t="b">
        <v>0</v>
      </c>
      <c r="AB92" s="1">
        <v>151.0</v>
      </c>
      <c r="AC92" s="1" t="b">
        <v>0</v>
      </c>
      <c r="AD92" s="1">
        <v>24.0</v>
      </c>
      <c r="AE92" s="1">
        <v>5.0</v>
      </c>
      <c r="AF92" s="3">
        <v>46156.0</v>
      </c>
      <c r="AG92" s="1" t="s">
        <v>55</v>
      </c>
      <c r="AH92" s="1" t="s">
        <v>56</v>
      </c>
      <c r="AI92" s="1" t="s">
        <v>377</v>
      </c>
      <c r="AJ92" s="1" t="s">
        <v>58</v>
      </c>
      <c r="AK92" s="1">
        <v>81434.0</v>
      </c>
      <c r="AL92" s="1" t="s">
        <v>59</v>
      </c>
      <c r="AM92" s="1" t="s">
        <v>60</v>
      </c>
      <c r="AN92" s="4" t="s">
        <v>404</v>
      </c>
      <c r="AO92" s="4" t="s">
        <v>405</v>
      </c>
      <c r="AP92" s="1">
        <v>5.3378526E7</v>
      </c>
      <c r="AQ92" s="1">
        <v>2937111.0</v>
      </c>
      <c r="AR92" s="1">
        <v>38.93681</v>
      </c>
      <c r="AS92" s="1">
        <v>-107.38521</v>
      </c>
      <c r="AT92" s="5">
        <f t="shared" si="1"/>
        <v>41.81394958</v>
      </c>
      <c r="AU92" s="5">
        <f t="shared" si="2"/>
        <v>44185.20588</v>
      </c>
      <c r="AV92" s="5">
        <f t="shared" si="3"/>
        <v>0.264121177</v>
      </c>
      <c r="AW92" s="5">
        <f t="shared" si="4"/>
        <v>0.755008497</v>
      </c>
      <c r="AX92" s="5">
        <f t="shared" si="5"/>
        <v>33360.20588</v>
      </c>
    </row>
    <row r="93">
      <c r="A93" s="1" t="s">
        <v>406</v>
      </c>
      <c r="B93" s="1">
        <v>1.9835677E7</v>
      </c>
      <c r="D93" s="1">
        <v>10427.0</v>
      </c>
      <c r="E93" s="1">
        <v>10532.0</v>
      </c>
      <c r="F93" s="1">
        <v>347.57</v>
      </c>
      <c r="G93" s="1">
        <v>19.11</v>
      </c>
      <c r="H93" s="1">
        <v>244.0</v>
      </c>
      <c r="I93" s="1">
        <v>1.0</v>
      </c>
      <c r="J93" s="1">
        <v>1.0</v>
      </c>
      <c r="K93" s="1">
        <v>4.0</v>
      </c>
      <c r="L93" s="1" t="b">
        <v>0</v>
      </c>
      <c r="M93" s="1" t="b">
        <v>0</v>
      </c>
      <c r="N93" s="1" t="b">
        <v>0</v>
      </c>
      <c r="O93" s="1" t="b">
        <v>0</v>
      </c>
      <c r="P93" s="1" t="b">
        <v>1</v>
      </c>
      <c r="Q93" s="1" t="b">
        <v>1</v>
      </c>
      <c r="R93" s="1" t="b">
        <v>0</v>
      </c>
      <c r="S93" s="1" t="s">
        <v>51</v>
      </c>
      <c r="T93" s="1" t="s">
        <v>382</v>
      </c>
      <c r="U93" s="1" t="s">
        <v>257</v>
      </c>
      <c r="V93" s="1">
        <v>4.8</v>
      </c>
      <c r="W93" s="1">
        <v>110.0</v>
      </c>
      <c r="X93" s="1">
        <v>2.0</v>
      </c>
      <c r="Y93" s="2">
        <v>46193.0</v>
      </c>
      <c r="Z93" s="1" t="s">
        <v>54</v>
      </c>
      <c r="AA93" s="1" t="b">
        <v>1</v>
      </c>
      <c r="AB93" s="1">
        <v>99.0</v>
      </c>
      <c r="AC93" s="1" t="b">
        <v>1</v>
      </c>
      <c r="AD93" s="1">
        <v>30.0</v>
      </c>
      <c r="AE93" s="1">
        <v>12.0</v>
      </c>
      <c r="AF93" s="3">
        <v>46155.0</v>
      </c>
      <c r="AG93" s="1" t="s">
        <v>55</v>
      </c>
      <c r="AH93" s="1" t="s">
        <v>56</v>
      </c>
      <c r="AI93" s="1" t="s">
        <v>56</v>
      </c>
      <c r="AJ93" s="1" t="s">
        <v>58</v>
      </c>
      <c r="AK93" s="1">
        <v>81623.0</v>
      </c>
      <c r="AL93" s="1" t="s">
        <v>59</v>
      </c>
      <c r="AM93" s="1" t="s">
        <v>60</v>
      </c>
      <c r="AN93" s="4" t="s">
        <v>407</v>
      </c>
      <c r="AO93" s="4" t="s">
        <v>408</v>
      </c>
      <c r="AP93" s="1">
        <v>1.3606656E7</v>
      </c>
      <c r="AQ93" s="1">
        <v>5001643.0</v>
      </c>
      <c r="AR93" s="1">
        <v>39.45156</v>
      </c>
      <c r="AS93" s="1">
        <v>-107.17222</v>
      </c>
      <c r="AT93" s="5">
        <f t="shared" si="1"/>
        <v>41.81394958</v>
      </c>
      <c r="AU93" s="5">
        <f t="shared" si="2"/>
        <v>44185.20588</v>
      </c>
      <c r="AV93" s="5">
        <f t="shared" si="3"/>
        <v>0.5429754856</v>
      </c>
      <c r="AW93" s="5">
        <f t="shared" si="4"/>
        <v>0.7640160368</v>
      </c>
      <c r="AX93" s="5">
        <f t="shared" si="5"/>
        <v>33758.20588</v>
      </c>
    </row>
    <row r="94">
      <c r="A94" s="1" t="s">
        <v>409</v>
      </c>
      <c r="B94" s="1">
        <v>3542490.0</v>
      </c>
      <c r="D94" s="1">
        <v>8778.0</v>
      </c>
      <c r="E94" s="1">
        <v>9813.0</v>
      </c>
      <c r="F94" s="1">
        <v>237.24</v>
      </c>
      <c r="G94" s="1">
        <v>72.55</v>
      </c>
      <c r="H94" s="1">
        <v>110.0</v>
      </c>
      <c r="J94" s="1">
        <v>1.0</v>
      </c>
      <c r="K94" s="1">
        <v>2.0</v>
      </c>
      <c r="L94" s="1" t="b">
        <v>0</v>
      </c>
      <c r="M94" s="1" t="b">
        <v>0</v>
      </c>
      <c r="N94" s="1" t="b">
        <v>0</v>
      </c>
      <c r="O94" s="1" t="b">
        <v>1</v>
      </c>
      <c r="P94" s="1" t="b">
        <v>1</v>
      </c>
      <c r="Q94" s="1" t="b">
        <v>0</v>
      </c>
      <c r="R94" s="1" t="b">
        <v>0</v>
      </c>
      <c r="S94" s="1" t="s">
        <v>51</v>
      </c>
      <c r="T94" s="1" t="s">
        <v>163</v>
      </c>
      <c r="U94" s="1" t="s">
        <v>164</v>
      </c>
      <c r="V94" s="1">
        <v>0.0</v>
      </c>
      <c r="W94" s="1">
        <v>0.0</v>
      </c>
      <c r="X94" s="1">
        <v>3.0</v>
      </c>
      <c r="Y94" s="2">
        <v>46058.0</v>
      </c>
      <c r="Z94" s="1" t="s">
        <v>54</v>
      </c>
      <c r="AA94" s="1" t="b">
        <v>0</v>
      </c>
      <c r="AB94" s="1">
        <v>149.0</v>
      </c>
      <c r="AC94" s="1" t="b">
        <v>0</v>
      </c>
      <c r="AD94" s="1">
        <v>37.0</v>
      </c>
      <c r="AE94" s="1">
        <v>2.0</v>
      </c>
      <c r="AF94" s="3">
        <v>45965.0</v>
      </c>
      <c r="AG94" s="1" t="s">
        <v>55</v>
      </c>
      <c r="AH94" s="1" t="s">
        <v>56</v>
      </c>
      <c r="AI94" s="1" t="s">
        <v>72</v>
      </c>
      <c r="AJ94" s="1" t="s">
        <v>58</v>
      </c>
      <c r="AK94" s="1">
        <v>81621.0</v>
      </c>
      <c r="AL94" s="1" t="s">
        <v>59</v>
      </c>
      <c r="AM94" s="1" t="s">
        <v>60</v>
      </c>
      <c r="AN94" s="4" t="s">
        <v>410</v>
      </c>
      <c r="AO94" s="4" t="s">
        <v>411</v>
      </c>
      <c r="AP94" s="1" t="s">
        <v>412</v>
      </c>
      <c r="AR94" s="1">
        <v>39.36569</v>
      </c>
      <c r="AS94" s="1">
        <v>-107.03111</v>
      </c>
      <c r="AT94" s="5">
        <f t="shared" si="1"/>
        <v>41.81394958</v>
      </c>
      <c r="AU94" s="5">
        <f t="shared" si="2"/>
        <v>44185.20588</v>
      </c>
      <c r="AV94" s="5">
        <f t="shared" si="3"/>
        <v>-0.735066903</v>
      </c>
      <c r="AW94" s="5">
        <f t="shared" si="4"/>
        <v>0.8013362205</v>
      </c>
      <c r="AX94" s="5">
        <f t="shared" si="5"/>
        <v>35407.20588</v>
      </c>
    </row>
    <row r="95">
      <c r="A95" s="1" t="s">
        <v>413</v>
      </c>
      <c r="B95" s="1">
        <v>2419866.0</v>
      </c>
      <c r="D95" s="1">
        <v>7385.0</v>
      </c>
      <c r="E95" s="1">
        <v>8457.0</v>
      </c>
      <c r="F95" s="1">
        <v>369.25</v>
      </c>
      <c r="G95" s="1">
        <v>20.41</v>
      </c>
      <c r="H95" s="1">
        <v>163.0</v>
      </c>
      <c r="I95" s="1">
        <v>2.0</v>
      </c>
      <c r="J95" s="1">
        <v>1.0</v>
      </c>
      <c r="K95" s="1">
        <v>4.0</v>
      </c>
      <c r="L95" s="1" t="b">
        <v>0</v>
      </c>
      <c r="M95" s="1" t="b">
        <v>0</v>
      </c>
      <c r="N95" s="1" t="b">
        <v>0</v>
      </c>
      <c r="O95" s="1" t="b">
        <v>1</v>
      </c>
      <c r="P95" s="1" t="b">
        <v>1</v>
      </c>
      <c r="Q95" s="1" t="b">
        <v>0</v>
      </c>
      <c r="R95" s="1" t="b">
        <v>0</v>
      </c>
      <c r="S95" s="1" t="s">
        <v>51</v>
      </c>
      <c r="T95" s="1" t="s">
        <v>137</v>
      </c>
      <c r="U95" s="1" t="s">
        <v>53</v>
      </c>
      <c r="V95" s="1">
        <v>4.85</v>
      </c>
      <c r="W95" s="1">
        <v>90.0</v>
      </c>
      <c r="X95" s="1">
        <v>3.0</v>
      </c>
      <c r="Y95" s="2">
        <v>46058.0</v>
      </c>
      <c r="Z95" s="1" t="s">
        <v>54</v>
      </c>
      <c r="AA95" s="1" t="b">
        <v>0</v>
      </c>
      <c r="AB95" s="1">
        <v>103.0</v>
      </c>
      <c r="AC95" s="1" t="b">
        <v>0</v>
      </c>
      <c r="AD95" s="1">
        <v>20.0</v>
      </c>
      <c r="AE95" s="1">
        <v>6.0</v>
      </c>
      <c r="AF95" s="3">
        <v>46155.0</v>
      </c>
      <c r="AG95" s="1" t="s">
        <v>55</v>
      </c>
      <c r="AH95" s="1" t="s">
        <v>56</v>
      </c>
      <c r="AI95" s="1" t="s">
        <v>56</v>
      </c>
      <c r="AJ95" s="1" t="s">
        <v>58</v>
      </c>
      <c r="AK95" s="1">
        <v>81623.0</v>
      </c>
      <c r="AL95" s="1" t="s">
        <v>59</v>
      </c>
      <c r="AM95" s="1" t="s">
        <v>60</v>
      </c>
      <c r="AN95" s="4" t="s">
        <v>414</v>
      </c>
      <c r="AO95" s="4" t="s">
        <v>415</v>
      </c>
      <c r="AP95" s="1">
        <v>489153.0</v>
      </c>
      <c r="AR95" s="1">
        <v>39.0826</v>
      </c>
      <c r="AS95" s="1">
        <v>-107.1807</v>
      </c>
      <c r="AT95" s="5">
        <f t="shared" si="1"/>
        <v>41.81394958</v>
      </c>
      <c r="AU95" s="5">
        <f t="shared" si="2"/>
        <v>44185.20588</v>
      </c>
      <c r="AV95" s="5">
        <f t="shared" si="3"/>
        <v>0.5118853826</v>
      </c>
      <c r="AW95" s="5">
        <f t="shared" si="4"/>
        <v>0.8328626097</v>
      </c>
      <c r="AX95" s="5">
        <f t="shared" si="5"/>
        <v>36800.20588</v>
      </c>
    </row>
    <row r="96">
      <c r="A96" s="1" t="s">
        <v>416</v>
      </c>
      <c r="B96" s="1" t="s">
        <v>190</v>
      </c>
      <c r="D96" s="1">
        <v>6780.0</v>
      </c>
      <c r="E96" s="1">
        <v>11309.0</v>
      </c>
      <c r="F96" s="1">
        <v>356.84</v>
      </c>
      <c r="G96" s="1">
        <v>30.16</v>
      </c>
      <c r="H96" s="1">
        <v>92.0</v>
      </c>
      <c r="I96" s="1">
        <v>2.0</v>
      </c>
      <c r="J96" s="1">
        <v>2.0</v>
      </c>
      <c r="K96" s="1">
        <v>6.0</v>
      </c>
      <c r="L96" s="1" t="b">
        <v>0</v>
      </c>
      <c r="M96" s="1" t="b">
        <v>0</v>
      </c>
      <c r="N96" s="1" t="b">
        <v>0</v>
      </c>
      <c r="O96" s="1" t="b">
        <v>1</v>
      </c>
      <c r="P96" s="1" t="b">
        <v>1</v>
      </c>
      <c r="Q96" s="1" t="b">
        <v>1</v>
      </c>
      <c r="R96" s="1" t="b">
        <v>0</v>
      </c>
      <c r="S96" s="1" t="s">
        <v>51</v>
      </c>
      <c r="T96" s="1" t="s">
        <v>287</v>
      </c>
      <c r="U96" s="1" t="s">
        <v>164</v>
      </c>
      <c r="V96" s="1">
        <v>5.0</v>
      </c>
      <c r="W96" s="1">
        <v>4.0</v>
      </c>
      <c r="X96" s="1">
        <v>2.0</v>
      </c>
      <c r="Y96" s="1" t="s">
        <v>71</v>
      </c>
      <c r="Z96" s="1" t="s">
        <v>54</v>
      </c>
      <c r="AA96" s="1" t="b">
        <v>1</v>
      </c>
      <c r="AB96" s="1">
        <v>224.0</v>
      </c>
      <c r="AC96" s="1" t="b">
        <v>0</v>
      </c>
      <c r="AD96" s="1">
        <v>19.0</v>
      </c>
      <c r="AE96" s="1">
        <v>7.0</v>
      </c>
      <c r="AF96" s="3">
        <v>46157.0</v>
      </c>
      <c r="AG96" s="1" t="s">
        <v>55</v>
      </c>
      <c r="AH96" s="1" t="s">
        <v>56</v>
      </c>
      <c r="AI96" s="1" t="s">
        <v>56</v>
      </c>
      <c r="AJ96" s="1" t="s">
        <v>58</v>
      </c>
      <c r="AK96" s="1">
        <v>81623.0</v>
      </c>
      <c r="AL96" s="1" t="s">
        <v>59</v>
      </c>
      <c r="AM96" s="1" t="s">
        <v>60</v>
      </c>
      <c r="AN96" s="4" t="s">
        <v>417</v>
      </c>
      <c r="AO96" s="4" t="s">
        <v>418</v>
      </c>
      <c r="AP96" s="1" t="s">
        <v>419</v>
      </c>
      <c r="AQ96" s="1">
        <v>5088330.0</v>
      </c>
      <c r="AR96" s="1">
        <v>39.40778</v>
      </c>
      <c r="AS96" s="1">
        <v>-107.16584</v>
      </c>
      <c r="AT96" s="5">
        <f t="shared" si="1"/>
        <v>41.81394958</v>
      </c>
      <c r="AU96" s="5">
        <f t="shared" si="2"/>
        <v>44185.20588</v>
      </c>
      <c r="AV96" s="5">
        <f t="shared" si="3"/>
        <v>0.27870961</v>
      </c>
      <c r="AW96" s="5">
        <f t="shared" si="4"/>
        <v>0.8465549755</v>
      </c>
      <c r="AX96" s="5">
        <f t="shared" si="5"/>
        <v>37405.20588</v>
      </c>
    </row>
    <row r="97">
      <c r="A97" s="1" t="s">
        <v>420</v>
      </c>
      <c r="B97" s="1">
        <v>1.94989063E8</v>
      </c>
      <c r="D97" s="1">
        <v>5995.0</v>
      </c>
      <c r="E97" s="1">
        <v>5995.0</v>
      </c>
      <c r="F97" s="1">
        <v>1199.0</v>
      </c>
      <c r="G97" s="1">
        <v>15.62</v>
      </c>
      <c r="H97" s="1">
        <v>48.0</v>
      </c>
      <c r="I97" s="1">
        <v>4.0</v>
      </c>
      <c r="J97" s="1">
        <v>3.0</v>
      </c>
      <c r="K97" s="1">
        <v>9.0</v>
      </c>
      <c r="L97" s="1" t="b">
        <v>0</v>
      </c>
      <c r="M97" s="1" t="b">
        <v>0</v>
      </c>
      <c r="N97" s="1" t="b">
        <v>0</v>
      </c>
      <c r="O97" s="1" t="b">
        <v>1</v>
      </c>
      <c r="P97" s="1" t="b">
        <v>1</v>
      </c>
      <c r="Q97" s="1" t="b">
        <v>1</v>
      </c>
      <c r="R97" s="1" t="b">
        <v>0</v>
      </c>
      <c r="S97" s="1" t="s">
        <v>51</v>
      </c>
      <c r="T97" s="1" t="s">
        <v>65</v>
      </c>
      <c r="U97" s="1" t="s">
        <v>53</v>
      </c>
      <c r="V97" s="1">
        <v>4.0</v>
      </c>
      <c r="W97" s="1">
        <v>2.0</v>
      </c>
      <c r="X97" s="1">
        <v>2.0</v>
      </c>
      <c r="Y97" s="2">
        <v>46058.0</v>
      </c>
      <c r="Z97" s="1" t="s">
        <v>54</v>
      </c>
      <c r="AA97" s="1" t="b">
        <v>0</v>
      </c>
      <c r="AB97" s="1">
        <v>300.0</v>
      </c>
      <c r="AC97" s="1" t="b">
        <v>0</v>
      </c>
      <c r="AD97" s="1">
        <v>5.0</v>
      </c>
      <c r="AE97" s="1">
        <v>1.0</v>
      </c>
      <c r="AF97" s="3">
        <v>45771.0</v>
      </c>
      <c r="AG97" s="1" t="s">
        <v>55</v>
      </c>
      <c r="AH97" s="1" t="s">
        <v>56</v>
      </c>
      <c r="AI97" s="1" t="s">
        <v>72</v>
      </c>
      <c r="AJ97" s="1" t="s">
        <v>58</v>
      </c>
      <c r="AK97" s="1">
        <v>81621.0</v>
      </c>
      <c r="AL97" s="1" t="s">
        <v>59</v>
      </c>
      <c r="AM97" s="1" t="s">
        <v>60</v>
      </c>
      <c r="AN97" s="4" t="s">
        <v>421</v>
      </c>
      <c r="AO97" s="4" t="s">
        <v>422</v>
      </c>
      <c r="AP97" s="1" t="s">
        <v>423</v>
      </c>
      <c r="AR97" s="1">
        <v>39.3523</v>
      </c>
      <c r="AS97" s="1">
        <v>-107.05854</v>
      </c>
      <c r="AT97" s="5">
        <f t="shared" si="1"/>
        <v>41.81394958</v>
      </c>
      <c r="AU97" s="5">
        <f t="shared" si="2"/>
        <v>44185.20588</v>
      </c>
      <c r="AV97" s="5">
        <f t="shared" si="3"/>
        <v>0.6264404545</v>
      </c>
      <c r="AW97" s="5">
        <f t="shared" si="4"/>
        <v>0.864321103</v>
      </c>
      <c r="AX97" s="5">
        <f t="shared" si="5"/>
        <v>38190.20588</v>
      </c>
    </row>
    <row r="98">
      <c r="A98" s="1" t="s">
        <v>424</v>
      </c>
      <c r="B98" s="1">
        <v>1.95675601E8</v>
      </c>
      <c r="D98" s="1">
        <v>5325.0</v>
      </c>
      <c r="E98" s="1">
        <v>15056.0</v>
      </c>
      <c r="F98" s="1">
        <v>484.09</v>
      </c>
      <c r="G98" s="1">
        <v>16.18</v>
      </c>
      <c r="H98" s="1">
        <v>306.0</v>
      </c>
      <c r="I98" s="1">
        <v>3.0</v>
      </c>
      <c r="J98" s="1">
        <v>1.0</v>
      </c>
      <c r="K98" s="1">
        <v>6.0</v>
      </c>
      <c r="L98" s="1" t="b">
        <v>0</v>
      </c>
      <c r="M98" s="1" t="b">
        <v>0</v>
      </c>
      <c r="N98" s="1" t="b">
        <v>0</v>
      </c>
      <c r="O98" s="1" t="b">
        <v>1</v>
      </c>
      <c r="P98" s="1" t="b">
        <v>1</v>
      </c>
      <c r="Q98" s="1" t="b">
        <v>0</v>
      </c>
      <c r="R98" s="1" t="b">
        <v>0</v>
      </c>
      <c r="S98" s="1" t="s">
        <v>51</v>
      </c>
      <c r="T98" s="1" t="s">
        <v>65</v>
      </c>
      <c r="U98" s="1" t="s">
        <v>53</v>
      </c>
      <c r="V98" s="1">
        <v>0.0</v>
      </c>
      <c r="W98" s="1">
        <v>0.0</v>
      </c>
      <c r="X98" s="1">
        <v>1.0</v>
      </c>
      <c r="Y98" s="1">
        <v>1.0</v>
      </c>
      <c r="Z98" s="1" t="s">
        <v>54</v>
      </c>
      <c r="AA98" s="1" t="b">
        <v>0</v>
      </c>
      <c r="AB98" s="1">
        <v>0.0</v>
      </c>
      <c r="AC98" s="1" t="b">
        <v>1</v>
      </c>
      <c r="AD98" s="1">
        <v>11.0</v>
      </c>
      <c r="AE98" s="1">
        <v>4.0</v>
      </c>
      <c r="AF98" s="3">
        <v>46023.0</v>
      </c>
      <c r="AG98" s="1" t="s">
        <v>55</v>
      </c>
      <c r="AH98" s="1" t="s">
        <v>56</v>
      </c>
      <c r="AI98" s="1" t="s">
        <v>56</v>
      </c>
      <c r="AJ98" s="1" t="s">
        <v>58</v>
      </c>
      <c r="AK98" s="1">
        <v>81623.0</v>
      </c>
      <c r="AL98" s="1" t="s">
        <v>59</v>
      </c>
      <c r="AM98" s="1" t="s">
        <v>60</v>
      </c>
      <c r="AN98" s="4" t="s">
        <v>425</v>
      </c>
      <c r="AO98" s="4" t="s">
        <v>426</v>
      </c>
      <c r="AP98" s="1" t="s">
        <v>427</v>
      </c>
      <c r="AR98" s="1">
        <v>39.3932731113</v>
      </c>
      <c r="AS98" s="1">
        <v>-107.2133647567</v>
      </c>
      <c r="AT98" s="5">
        <f t="shared" si="1"/>
        <v>41.81394958</v>
      </c>
      <c r="AU98" s="5">
        <f t="shared" si="2"/>
        <v>44185.20588</v>
      </c>
      <c r="AV98" s="5">
        <f t="shared" si="3"/>
        <v>0.6130477948</v>
      </c>
      <c r="AW98" s="5">
        <f t="shared" si="4"/>
        <v>0.8794845493</v>
      </c>
      <c r="AX98" s="5">
        <f t="shared" si="5"/>
        <v>38860.20588</v>
      </c>
    </row>
    <row r="99">
      <c r="A99" s="1" t="s">
        <v>428</v>
      </c>
      <c r="B99" s="1">
        <v>1.9835677E7</v>
      </c>
      <c r="D99" s="1">
        <v>5140.0</v>
      </c>
      <c r="E99" s="1">
        <v>5233.0</v>
      </c>
      <c r="F99" s="1">
        <v>395.38</v>
      </c>
      <c r="G99" s="1">
        <v>24.07</v>
      </c>
      <c r="H99" s="1">
        <v>202.0</v>
      </c>
      <c r="I99" s="1">
        <v>1.0</v>
      </c>
      <c r="J99" s="1">
        <v>1.0</v>
      </c>
      <c r="K99" s="1">
        <v>4.0</v>
      </c>
      <c r="L99" s="1" t="b">
        <v>0</v>
      </c>
      <c r="M99" s="1" t="b">
        <v>0</v>
      </c>
      <c r="N99" s="1" t="b">
        <v>0</v>
      </c>
      <c r="O99" s="1" t="b">
        <v>1</v>
      </c>
      <c r="P99" s="1" t="b">
        <v>1</v>
      </c>
      <c r="Q99" s="1" t="b">
        <v>1</v>
      </c>
      <c r="R99" s="1" t="b">
        <v>0</v>
      </c>
      <c r="S99" s="1" t="s">
        <v>51</v>
      </c>
      <c r="T99" s="1" t="s">
        <v>382</v>
      </c>
      <c r="U99" s="1" t="s">
        <v>257</v>
      </c>
      <c r="V99" s="1">
        <v>4.8</v>
      </c>
      <c r="W99" s="1">
        <v>41.0</v>
      </c>
      <c r="X99" s="1">
        <v>2.0</v>
      </c>
      <c r="Y99" s="2">
        <v>46193.0</v>
      </c>
      <c r="Z99" s="1" t="s">
        <v>54</v>
      </c>
      <c r="AA99" s="1" t="b">
        <v>1</v>
      </c>
      <c r="AB99" s="1">
        <v>100.0</v>
      </c>
      <c r="AC99" s="1" t="b">
        <v>1</v>
      </c>
      <c r="AD99" s="1">
        <v>13.0</v>
      </c>
      <c r="AE99" s="1">
        <v>2.0</v>
      </c>
      <c r="AF99" s="3">
        <v>46155.0</v>
      </c>
      <c r="AG99" s="1" t="s">
        <v>55</v>
      </c>
      <c r="AH99" s="1" t="s">
        <v>56</v>
      </c>
      <c r="AI99" s="1" t="s">
        <v>56</v>
      </c>
      <c r="AJ99" s="1" t="s">
        <v>58</v>
      </c>
      <c r="AK99" s="1">
        <v>81623.0</v>
      </c>
      <c r="AL99" s="1" t="s">
        <v>59</v>
      </c>
      <c r="AM99" s="1" t="s">
        <v>60</v>
      </c>
      <c r="AN99" s="4" t="s">
        <v>429</v>
      </c>
      <c r="AO99" s="4" t="s">
        <v>430</v>
      </c>
      <c r="AP99" s="1">
        <v>4.5202374E7</v>
      </c>
      <c r="AQ99" s="1">
        <v>2093679.0</v>
      </c>
      <c r="AR99" s="1">
        <v>39.45554</v>
      </c>
      <c r="AS99" s="1">
        <v>-107.17268</v>
      </c>
      <c r="AT99" s="5">
        <f t="shared" si="1"/>
        <v>41.81394958</v>
      </c>
      <c r="AU99" s="5">
        <f t="shared" si="2"/>
        <v>44185.20588</v>
      </c>
      <c r="AV99" s="5">
        <f t="shared" si="3"/>
        <v>0.4243547849</v>
      </c>
      <c r="AW99" s="5">
        <f t="shared" si="4"/>
        <v>0.8836714711</v>
      </c>
      <c r="AX99" s="5">
        <f t="shared" si="5"/>
        <v>39045.20588</v>
      </c>
    </row>
    <row r="100">
      <c r="A100" s="1" t="s">
        <v>431</v>
      </c>
      <c r="B100" s="1">
        <v>1.3556459E8</v>
      </c>
      <c r="D100" s="1">
        <v>4955.0</v>
      </c>
      <c r="E100" s="1">
        <v>11374.0</v>
      </c>
      <c r="F100" s="1">
        <v>495.5</v>
      </c>
      <c r="G100" s="1">
        <v>30.3</v>
      </c>
      <c r="H100" s="1">
        <v>70.0</v>
      </c>
      <c r="I100" s="1">
        <v>2.0</v>
      </c>
      <c r="J100" s="1">
        <v>2.0</v>
      </c>
      <c r="K100" s="1">
        <v>5.0</v>
      </c>
      <c r="L100" s="1" t="b">
        <v>0</v>
      </c>
      <c r="M100" s="1" t="b">
        <v>0</v>
      </c>
      <c r="N100" s="1" t="b">
        <v>0</v>
      </c>
      <c r="O100" s="1" t="b">
        <v>1</v>
      </c>
      <c r="P100" s="1" t="b">
        <v>1</v>
      </c>
      <c r="Q100" s="1" t="b">
        <v>0</v>
      </c>
      <c r="R100" s="1" t="b">
        <v>0</v>
      </c>
      <c r="S100" s="1" t="s">
        <v>51</v>
      </c>
      <c r="T100" s="1" t="s">
        <v>287</v>
      </c>
      <c r="U100" s="1" t="s">
        <v>164</v>
      </c>
      <c r="V100" s="1">
        <v>5.0</v>
      </c>
      <c r="W100" s="1">
        <v>1.0</v>
      </c>
      <c r="X100" s="1">
        <v>2.0</v>
      </c>
      <c r="Y100" s="2">
        <v>46058.0</v>
      </c>
      <c r="Z100" s="1" t="s">
        <v>54</v>
      </c>
      <c r="AA100" s="1" t="b">
        <v>0</v>
      </c>
      <c r="AB100" s="1">
        <v>150.0</v>
      </c>
      <c r="AC100" s="1" t="b">
        <v>0</v>
      </c>
      <c r="AD100" s="1">
        <v>10.0</v>
      </c>
      <c r="AE100" s="1">
        <v>4.0</v>
      </c>
      <c r="AF100" s="3">
        <v>46080.0</v>
      </c>
      <c r="AG100" s="1" t="s">
        <v>55</v>
      </c>
      <c r="AH100" s="1" t="s">
        <v>56</v>
      </c>
      <c r="AI100" s="1" t="s">
        <v>72</v>
      </c>
      <c r="AJ100" s="1" t="s">
        <v>58</v>
      </c>
      <c r="AK100" s="1">
        <v>81621.0</v>
      </c>
      <c r="AL100" s="1" t="s">
        <v>59</v>
      </c>
      <c r="AM100" s="1" t="s">
        <v>60</v>
      </c>
      <c r="AN100" s="4" t="s">
        <v>432</v>
      </c>
      <c r="AO100" s="4" t="s">
        <v>433</v>
      </c>
      <c r="AP100" s="1" t="s">
        <v>434</v>
      </c>
      <c r="AQ100" s="1">
        <v>5036753.0</v>
      </c>
      <c r="AR100" s="1">
        <v>39.36197</v>
      </c>
      <c r="AS100" s="1">
        <v>-107.03796</v>
      </c>
      <c r="AT100" s="5">
        <f t="shared" si="1"/>
        <v>41.81394958</v>
      </c>
      <c r="AU100" s="5">
        <f t="shared" si="2"/>
        <v>44185.20588</v>
      </c>
      <c r="AV100" s="5">
        <f t="shared" si="3"/>
        <v>0.2753614451</v>
      </c>
      <c r="AW100" s="5">
        <f t="shared" si="4"/>
        <v>0.8878583928</v>
      </c>
      <c r="AX100" s="5">
        <f t="shared" si="5"/>
        <v>39230.20588</v>
      </c>
    </row>
    <row r="101">
      <c r="A101" s="1" t="s">
        <v>435</v>
      </c>
      <c r="B101" s="1">
        <v>1.60735078E8</v>
      </c>
      <c r="D101" s="1">
        <v>4599.0</v>
      </c>
      <c r="E101" s="1">
        <v>12650.0</v>
      </c>
      <c r="F101" s="1">
        <v>1533.0</v>
      </c>
      <c r="G101" s="1">
        <v>15.79</v>
      </c>
      <c r="H101" s="1">
        <v>55.0</v>
      </c>
      <c r="I101" s="1">
        <v>3.0</v>
      </c>
      <c r="J101" s="1">
        <v>2.0</v>
      </c>
      <c r="K101" s="1">
        <v>6.0</v>
      </c>
      <c r="L101" s="1" t="b">
        <v>0</v>
      </c>
      <c r="M101" s="1" t="b">
        <v>0</v>
      </c>
      <c r="N101" s="1" t="b">
        <v>0</v>
      </c>
      <c r="O101" s="1" t="b">
        <v>1</v>
      </c>
      <c r="P101" s="1" t="b">
        <v>1</v>
      </c>
      <c r="Q101" s="1" t="b">
        <v>0</v>
      </c>
      <c r="R101" s="1" t="b">
        <v>0</v>
      </c>
      <c r="S101" s="1" t="s">
        <v>51</v>
      </c>
      <c r="T101" s="1" t="s">
        <v>65</v>
      </c>
      <c r="U101" s="1" t="s">
        <v>53</v>
      </c>
      <c r="V101" s="1">
        <v>5.0</v>
      </c>
      <c r="W101" s="1">
        <v>6.0</v>
      </c>
      <c r="X101" s="1">
        <v>3.0</v>
      </c>
      <c r="Y101" s="1">
        <v>1.0</v>
      </c>
      <c r="Z101" s="1" t="s">
        <v>54</v>
      </c>
      <c r="AA101" s="1" t="b">
        <v>0</v>
      </c>
      <c r="AB101" s="1">
        <v>400.0</v>
      </c>
      <c r="AC101" s="1" t="b">
        <v>0</v>
      </c>
      <c r="AD101" s="1">
        <v>3.0</v>
      </c>
      <c r="AE101" s="1">
        <v>1.0</v>
      </c>
      <c r="AF101" s="3">
        <v>45842.0</v>
      </c>
      <c r="AG101" s="1" t="s">
        <v>55</v>
      </c>
      <c r="AH101" s="1" t="s">
        <v>56</v>
      </c>
      <c r="AI101" s="1" t="s">
        <v>57</v>
      </c>
      <c r="AJ101" s="1" t="s">
        <v>58</v>
      </c>
      <c r="AK101" s="1">
        <v>81654.0</v>
      </c>
      <c r="AL101" s="1" t="s">
        <v>59</v>
      </c>
      <c r="AM101" s="1" t="s">
        <v>60</v>
      </c>
      <c r="AN101" s="4" t="s">
        <v>436</v>
      </c>
      <c r="AO101" s="4" t="s">
        <v>437</v>
      </c>
      <c r="AP101" s="1">
        <v>4.4230907E7</v>
      </c>
      <c r="AQ101" s="1">
        <v>3266408.0</v>
      </c>
      <c r="AR101" s="1">
        <v>39.29832</v>
      </c>
      <c r="AS101" s="1">
        <v>-107.00618</v>
      </c>
      <c r="AT101" s="5">
        <f t="shared" si="1"/>
        <v>41.81394958</v>
      </c>
      <c r="AU101" s="5">
        <f t="shared" si="2"/>
        <v>44185.20588</v>
      </c>
      <c r="AV101" s="5">
        <f t="shared" si="3"/>
        <v>0.6223748257</v>
      </c>
      <c r="AW101" s="5">
        <f t="shared" si="4"/>
        <v>0.8959153882</v>
      </c>
      <c r="AX101" s="5">
        <f t="shared" si="5"/>
        <v>39586.20588</v>
      </c>
    </row>
    <row r="102">
      <c r="A102" s="1" t="s">
        <v>438</v>
      </c>
      <c r="B102" s="1">
        <v>2.18614974E8</v>
      </c>
      <c r="D102" s="1">
        <v>4397.0</v>
      </c>
      <c r="E102" s="1">
        <v>12884.0</v>
      </c>
      <c r="F102" s="1">
        <v>628.14</v>
      </c>
      <c r="G102" s="1">
        <v>8.64</v>
      </c>
      <c r="H102" s="1">
        <v>276.0</v>
      </c>
      <c r="I102" s="1">
        <v>2.0</v>
      </c>
      <c r="J102" s="1">
        <v>2.0</v>
      </c>
      <c r="K102" s="1">
        <v>4.0</v>
      </c>
      <c r="L102" s="1" t="b">
        <v>1</v>
      </c>
      <c r="M102" s="1" t="b">
        <v>0</v>
      </c>
      <c r="N102" s="1" t="b">
        <v>0</v>
      </c>
      <c r="O102" s="1" t="b">
        <v>1</v>
      </c>
      <c r="P102" s="1" t="b">
        <v>1</v>
      </c>
      <c r="Q102" s="1" t="b">
        <v>0</v>
      </c>
      <c r="R102" s="1" t="b">
        <v>0</v>
      </c>
      <c r="S102" s="1" t="s">
        <v>51</v>
      </c>
      <c r="T102" s="1" t="s">
        <v>287</v>
      </c>
      <c r="U102" s="1" t="s">
        <v>164</v>
      </c>
      <c r="V102" s="1">
        <v>0.0</v>
      </c>
      <c r="W102" s="1">
        <v>0.0</v>
      </c>
      <c r="X102" s="1">
        <v>2.0</v>
      </c>
      <c r="Y102" s="1">
        <v>1.0</v>
      </c>
      <c r="Z102" s="1" t="s">
        <v>54</v>
      </c>
      <c r="AA102" s="1" t="b">
        <v>0</v>
      </c>
      <c r="AB102" s="1">
        <v>0.0</v>
      </c>
      <c r="AC102" s="1" t="b">
        <v>0</v>
      </c>
      <c r="AD102" s="1">
        <v>7.0</v>
      </c>
      <c r="AE102" s="1">
        <v>3.0</v>
      </c>
      <c r="AF102" s="3">
        <v>46153.0</v>
      </c>
      <c r="AG102" s="1" t="s">
        <v>55</v>
      </c>
      <c r="AH102" s="1" t="s">
        <v>56</v>
      </c>
      <c r="AI102" s="1" t="s">
        <v>72</v>
      </c>
      <c r="AJ102" s="1" t="s">
        <v>58</v>
      </c>
      <c r="AK102" s="1">
        <v>81621.0</v>
      </c>
      <c r="AL102" s="1" t="s">
        <v>59</v>
      </c>
      <c r="AM102" s="1" t="s">
        <v>60</v>
      </c>
      <c r="AN102" s="4" t="s">
        <v>439</v>
      </c>
      <c r="AO102" s="4" t="s">
        <v>440</v>
      </c>
      <c r="AP102" s="1" t="s">
        <v>441</v>
      </c>
      <c r="AR102" s="1">
        <v>39.3591193859</v>
      </c>
      <c r="AS102" s="1">
        <v>-107.0350461198</v>
      </c>
      <c r="AT102" s="5">
        <f t="shared" si="1"/>
        <v>41.81394958</v>
      </c>
      <c r="AU102" s="5">
        <f t="shared" si="2"/>
        <v>44185.20588</v>
      </c>
      <c r="AV102" s="5">
        <f t="shared" si="3"/>
        <v>0.7933703923</v>
      </c>
      <c r="AW102" s="5">
        <f t="shared" si="4"/>
        <v>0.9004870542</v>
      </c>
      <c r="AX102" s="5">
        <f t="shared" si="5"/>
        <v>39788.20588</v>
      </c>
    </row>
    <row r="103">
      <c r="A103" s="1" t="s">
        <v>442</v>
      </c>
      <c r="B103" s="1">
        <v>2.8695213E7</v>
      </c>
      <c r="D103" s="1">
        <v>4387.0</v>
      </c>
      <c r="E103" s="1">
        <v>46948.0</v>
      </c>
      <c r="F103" s="1">
        <v>438.7</v>
      </c>
      <c r="G103" s="1">
        <v>90.91</v>
      </c>
      <c r="H103" s="1">
        <v>14.0</v>
      </c>
      <c r="I103" s="1">
        <v>2.0</v>
      </c>
      <c r="J103" s="1">
        <v>1.0</v>
      </c>
      <c r="K103" s="1">
        <v>2.0</v>
      </c>
      <c r="L103" s="1" t="b">
        <v>0</v>
      </c>
      <c r="M103" s="1" t="b">
        <v>0</v>
      </c>
      <c r="N103" s="1" t="b">
        <v>1</v>
      </c>
      <c r="O103" s="1" t="b">
        <v>1</v>
      </c>
      <c r="P103" s="1" t="b">
        <v>1</v>
      </c>
      <c r="Q103" s="1" t="b">
        <v>0</v>
      </c>
      <c r="R103" s="1" t="b">
        <v>0</v>
      </c>
      <c r="S103" s="1" t="s">
        <v>443</v>
      </c>
      <c r="T103" s="1" t="s">
        <v>65</v>
      </c>
      <c r="U103" s="1" t="s">
        <v>53</v>
      </c>
      <c r="V103" s="1">
        <v>5.0</v>
      </c>
      <c r="W103" s="1">
        <v>3.0</v>
      </c>
      <c r="X103" s="1">
        <v>3.0</v>
      </c>
      <c r="Y103" s="2">
        <v>46193.0</v>
      </c>
      <c r="Z103" s="1" t="s">
        <v>54</v>
      </c>
      <c r="AA103" s="1" t="b">
        <v>1</v>
      </c>
      <c r="AB103" s="1">
        <v>75.0</v>
      </c>
      <c r="AC103" s="1" t="b">
        <v>0</v>
      </c>
      <c r="AD103" s="1">
        <v>10.0</v>
      </c>
      <c r="AE103" s="1">
        <v>3.0</v>
      </c>
      <c r="AF103" s="3">
        <v>45934.0</v>
      </c>
      <c r="AG103" s="1" t="s">
        <v>55</v>
      </c>
      <c r="AH103" s="1" t="s">
        <v>56</v>
      </c>
      <c r="AI103" s="1" t="s">
        <v>56</v>
      </c>
      <c r="AJ103" s="1" t="s">
        <v>58</v>
      </c>
      <c r="AK103" s="1">
        <v>81623.0</v>
      </c>
      <c r="AL103" s="1" t="s">
        <v>59</v>
      </c>
      <c r="AM103" s="1" t="s">
        <v>60</v>
      </c>
      <c r="AN103" s="4" t="s">
        <v>444</v>
      </c>
      <c r="AO103" s="4" t="s">
        <v>445</v>
      </c>
      <c r="AP103" s="1">
        <v>2.6272996E7</v>
      </c>
      <c r="AR103" s="1">
        <v>39.40287</v>
      </c>
      <c r="AS103" s="1">
        <v>-107.11577</v>
      </c>
      <c r="AT103" s="5">
        <f t="shared" si="1"/>
        <v>41.81394958</v>
      </c>
      <c r="AU103" s="5">
        <f t="shared" si="2"/>
        <v>44185.20588</v>
      </c>
      <c r="AV103" s="5">
        <f t="shared" si="3"/>
        <v>-1.174154819</v>
      </c>
      <c r="AW103" s="5">
        <f t="shared" si="4"/>
        <v>0.9007133743</v>
      </c>
      <c r="AX103" s="5">
        <f t="shared" si="5"/>
        <v>39798.20588</v>
      </c>
    </row>
    <row r="104">
      <c r="A104" s="1" t="s">
        <v>446</v>
      </c>
      <c r="B104" s="1">
        <v>9349299.0</v>
      </c>
      <c r="D104" s="1">
        <v>3331.0</v>
      </c>
      <c r="E104" s="1">
        <v>4094.0</v>
      </c>
      <c r="F104" s="1">
        <v>302.82</v>
      </c>
      <c r="G104" s="1">
        <v>28.95</v>
      </c>
      <c r="H104" s="1">
        <v>354.0</v>
      </c>
      <c r="I104" s="1">
        <v>1.0</v>
      </c>
      <c r="J104" s="1">
        <v>1.0</v>
      </c>
      <c r="K104" s="1">
        <v>4.0</v>
      </c>
      <c r="L104" s="1" t="b">
        <v>1</v>
      </c>
      <c r="M104" s="1" t="b">
        <v>0</v>
      </c>
      <c r="N104" s="1" t="b">
        <v>0</v>
      </c>
      <c r="O104" s="1" t="b">
        <v>1</v>
      </c>
      <c r="P104" s="1" t="b">
        <v>0</v>
      </c>
      <c r="Q104" s="1" t="b">
        <v>1</v>
      </c>
      <c r="R104" s="1" t="b">
        <v>0</v>
      </c>
      <c r="S104" s="1" t="s">
        <v>51</v>
      </c>
      <c r="T104" s="1" t="s">
        <v>447</v>
      </c>
      <c r="U104" s="1" t="s">
        <v>257</v>
      </c>
      <c r="V104" s="1">
        <v>0.0</v>
      </c>
      <c r="W104" s="1">
        <v>0.0</v>
      </c>
      <c r="X104" s="1">
        <v>3.0</v>
      </c>
      <c r="Y104" s="2">
        <v>46058.0</v>
      </c>
      <c r="Z104" s="1" t="s">
        <v>54</v>
      </c>
      <c r="AA104" s="1" t="b">
        <v>0</v>
      </c>
      <c r="AB104" s="1">
        <v>99.0</v>
      </c>
      <c r="AC104" s="1" t="b">
        <v>1</v>
      </c>
      <c r="AD104" s="1">
        <v>11.0</v>
      </c>
      <c r="AE104" s="1">
        <v>1.0</v>
      </c>
      <c r="AF104" s="3">
        <v>46156.0</v>
      </c>
      <c r="AG104" s="1" t="s">
        <v>55</v>
      </c>
      <c r="AH104" s="1" t="s">
        <v>56</v>
      </c>
      <c r="AI104" s="1" t="s">
        <v>57</v>
      </c>
      <c r="AJ104" s="1" t="s">
        <v>58</v>
      </c>
      <c r="AK104" s="1">
        <v>81654.0</v>
      </c>
      <c r="AL104" s="1" t="s">
        <v>59</v>
      </c>
      <c r="AM104" s="1" t="s">
        <v>60</v>
      </c>
      <c r="AN104" s="4" t="s">
        <v>448</v>
      </c>
      <c r="AO104" s="4" t="s">
        <v>449</v>
      </c>
      <c r="AP104" s="1" t="s">
        <v>450</v>
      </c>
      <c r="AR104" s="1">
        <v>39.3436471644</v>
      </c>
      <c r="AS104" s="1">
        <v>-107.0020882274</v>
      </c>
      <c r="AT104" s="5">
        <f t="shared" si="1"/>
        <v>41.81394958</v>
      </c>
      <c r="AU104" s="5">
        <f t="shared" si="2"/>
        <v>44185.20588</v>
      </c>
      <c r="AV104" s="5">
        <f t="shared" si="3"/>
        <v>0.3076473213</v>
      </c>
      <c r="AW104" s="5">
        <f t="shared" si="4"/>
        <v>0.9246127763</v>
      </c>
      <c r="AX104" s="5">
        <f t="shared" si="5"/>
        <v>40854.20588</v>
      </c>
    </row>
    <row r="105">
      <c r="A105" s="1" t="s">
        <v>451</v>
      </c>
      <c r="B105" s="1">
        <v>1.3610419E7</v>
      </c>
      <c r="D105" s="1">
        <v>2291.0</v>
      </c>
      <c r="E105" s="1">
        <v>6194.0</v>
      </c>
      <c r="F105" s="1">
        <v>254.56</v>
      </c>
      <c r="G105" s="1">
        <v>20.93</v>
      </c>
      <c r="H105" s="1">
        <v>48.0</v>
      </c>
      <c r="I105" s="1">
        <v>1.0</v>
      </c>
      <c r="J105" s="1">
        <v>1.0</v>
      </c>
      <c r="K105" s="1">
        <v>2.0</v>
      </c>
      <c r="L105" s="1" t="b">
        <v>1</v>
      </c>
      <c r="M105" s="1" t="b">
        <v>0</v>
      </c>
      <c r="N105" s="1" t="b">
        <v>0</v>
      </c>
      <c r="O105" s="1" t="b">
        <v>1</v>
      </c>
      <c r="P105" s="1" t="b">
        <v>1</v>
      </c>
      <c r="Q105" s="1" t="b">
        <v>1</v>
      </c>
      <c r="R105" s="1" t="b">
        <v>0</v>
      </c>
      <c r="S105" s="1" t="s">
        <v>51</v>
      </c>
      <c r="T105" s="1" t="s">
        <v>447</v>
      </c>
      <c r="U105" s="1" t="s">
        <v>257</v>
      </c>
      <c r="V105" s="1">
        <v>5.0</v>
      </c>
      <c r="W105" s="1">
        <v>7.0</v>
      </c>
      <c r="X105" s="1">
        <v>1.0</v>
      </c>
      <c r="Y105" s="2">
        <v>46058.0</v>
      </c>
      <c r="Z105" s="1" t="s">
        <v>54</v>
      </c>
      <c r="AA105" s="1" t="b">
        <v>1</v>
      </c>
      <c r="AB105" s="1">
        <v>100.0</v>
      </c>
      <c r="AC105" s="1" t="b">
        <v>0</v>
      </c>
      <c r="AD105" s="1">
        <v>9.0</v>
      </c>
      <c r="AE105" s="1">
        <v>3.0</v>
      </c>
      <c r="AF105" s="3">
        <v>46153.0</v>
      </c>
      <c r="AG105" s="1" t="s">
        <v>55</v>
      </c>
      <c r="AH105" s="1" t="s">
        <v>56</v>
      </c>
      <c r="AI105" s="1" t="s">
        <v>56</v>
      </c>
      <c r="AJ105" s="1" t="s">
        <v>58</v>
      </c>
      <c r="AK105" s="1">
        <v>81623.0</v>
      </c>
      <c r="AL105" s="1" t="s">
        <v>59</v>
      </c>
      <c r="AM105" s="1" t="s">
        <v>60</v>
      </c>
      <c r="AN105" s="4" t="s">
        <v>452</v>
      </c>
      <c r="AO105" s="4" t="s">
        <v>453</v>
      </c>
      <c r="AP105" s="1" t="s">
        <v>454</v>
      </c>
      <c r="AR105" s="1">
        <v>39.47356</v>
      </c>
      <c r="AS105" s="1">
        <v>-107.11653</v>
      </c>
      <c r="AT105" s="5">
        <f t="shared" si="1"/>
        <v>41.81394958</v>
      </c>
      <c r="AU105" s="5">
        <f t="shared" si="2"/>
        <v>44185.20588</v>
      </c>
      <c r="AV105" s="5">
        <f t="shared" si="3"/>
        <v>0.4994493414</v>
      </c>
      <c r="AW105" s="5">
        <f t="shared" si="4"/>
        <v>0.9481500662</v>
      </c>
      <c r="AX105" s="5">
        <f t="shared" si="5"/>
        <v>41894.20588</v>
      </c>
    </row>
    <row r="106">
      <c r="A106" s="1" t="s">
        <v>455</v>
      </c>
      <c r="B106" s="1" t="s">
        <v>456</v>
      </c>
      <c r="D106" s="1">
        <v>2265.0</v>
      </c>
      <c r="E106" s="1">
        <v>2816.0</v>
      </c>
      <c r="F106" s="1">
        <v>755.0</v>
      </c>
      <c r="G106" s="1">
        <v>75.0</v>
      </c>
      <c r="H106" s="1">
        <v>252.0</v>
      </c>
      <c r="I106" s="1">
        <v>2.0</v>
      </c>
      <c r="J106" s="1">
        <v>1.0</v>
      </c>
      <c r="K106" s="1">
        <v>4.0</v>
      </c>
      <c r="L106" s="1" t="b">
        <v>1</v>
      </c>
      <c r="M106" s="1" t="b">
        <v>0</v>
      </c>
      <c r="N106" s="1" t="b">
        <v>0</v>
      </c>
      <c r="O106" s="1" t="b">
        <v>1</v>
      </c>
      <c r="P106" s="1" t="b">
        <v>0</v>
      </c>
      <c r="Q106" s="1" t="b">
        <v>0</v>
      </c>
      <c r="R106" s="1" t="b">
        <v>0</v>
      </c>
      <c r="S106" s="1" t="s">
        <v>51</v>
      </c>
      <c r="T106" s="1" t="s">
        <v>65</v>
      </c>
      <c r="U106" s="1" t="s">
        <v>53</v>
      </c>
      <c r="V106" s="1">
        <v>5.0</v>
      </c>
      <c r="W106" s="1">
        <v>4.0</v>
      </c>
      <c r="X106" s="1">
        <v>4.0</v>
      </c>
      <c r="Y106" s="1" t="s">
        <v>71</v>
      </c>
      <c r="Z106" s="1" t="s">
        <v>54</v>
      </c>
      <c r="AA106" s="1" t="b">
        <v>0</v>
      </c>
      <c r="AB106" s="1">
        <v>500.0</v>
      </c>
      <c r="AC106" s="1" t="b">
        <v>0</v>
      </c>
      <c r="AD106" s="1">
        <v>3.0</v>
      </c>
      <c r="AE106" s="1">
        <v>1.0</v>
      </c>
      <c r="AF106" s="3">
        <v>46156.0</v>
      </c>
      <c r="AG106" s="1" t="s">
        <v>55</v>
      </c>
      <c r="AH106" s="1" t="s">
        <v>56</v>
      </c>
      <c r="AI106" s="1" t="s">
        <v>72</v>
      </c>
      <c r="AJ106" s="1" t="s">
        <v>58</v>
      </c>
      <c r="AK106" s="1">
        <v>81621.0</v>
      </c>
      <c r="AL106" s="1" t="s">
        <v>59</v>
      </c>
      <c r="AM106" s="1" t="s">
        <v>60</v>
      </c>
      <c r="AN106" s="4" t="s">
        <v>457</v>
      </c>
      <c r="AO106" s="4" t="s">
        <v>458</v>
      </c>
      <c r="AP106" s="1" t="s">
        <v>459</v>
      </c>
      <c r="AQ106" s="1">
        <v>4395504.0</v>
      </c>
      <c r="AR106" s="1">
        <v>39.3602</v>
      </c>
      <c r="AS106" s="1">
        <v>-107.036</v>
      </c>
      <c r="AT106" s="5">
        <f t="shared" si="1"/>
        <v>41.81394958</v>
      </c>
      <c r="AU106" s="5">
        <f t="shared" si="2"/>
        <v>44185.20588</v>
      </c>
      <c r="AV106" s="5">
        <f t="shared" si="3"/>
        <v>-0.7936597895</v>
      </c>
      <c r="AW106" s="5">
        <f t="shared" si="4"/>
        <v>0.9487384984</v>
      </c>
      <c r="AX106" s="5">
        <f t="shared" si="5"/>
        <v>41920.20588</v>
      </c>
    </row>
    <row r="107">
      <c r="A107" s="1" t="s">
        <v>460</v>
      </c>
      <c r="B107" s="1">
        <v>8.5349174E7</v>
      </c>
      <c r="D107" s="1">
        <v>2068.0</v>
      </c>
      <c r="E107" s="1">
        <v>17847.0</v>
      </c>
      <c r="F107" s="1">
        <v>517.0</v>
      </c>
      <c r="G107" s="1">
        <v>57.14</v>
      </c>
      <c r="H107" s="1">
        <v>40.0</v>
      </c>
      <c r="I107" s="1">
        <v>3.0</v>
      </c>
      <c r="J107" s="1">
        <v>2.0</v>
      </c>
      <c r="K107" s="1">
        <v>6.0</v>
      </c>
      <c r="L107" s="1" t="b">
        <v>0</v>
      </c>
      <c r="M107" s="1" t="b">
        <v>0</v>
      </c>
      <c r="N107" s="1" t="b">
        <v>0</v>
      </c>
      <c r="O107" s="1" t="b">
        <v>1</v>
      </c>
      <c r="P107" s="1" t="b">
        <v>0</v>
      </c>
      <c r="Q107" s="1" t="b">
        <v>1</v>
      </c>
      <c r="R107" s="1" t="b">
        <v>0</v>
      </c>
      <c r="S107" s="1" t="s">
        <v>51</v>
      </c>
      <c r="T107" s="1" t="s">
        <v>65</v>
      </c>
      <c r="U107" s="1" t="s">
        <v>53</v>
      </c>
      <c r="V107" s="1">
        <v>4.9</v>
      </c>
      <c r="W107" s="1">
        <v>75.0</v>
      </c>
      <c r="X107" s="1">
        <v>4.0</v>
      </c>
      <c r="Y107" s="2">
        <v>46058.0</v>
      </c>
      <c r="Z107" s="1" t="s">
        <v>54</v>
      </c>
      <c r="AA107" s="1" t="b">
        <v>0</v>
      </c>
      <c r="AB107" s="1">
        <v>150.0</v>
      </c>
      <c r="AC107" s="1" t="b">
        <v>0</v>
      </c>
      <c r="AD107" s="1">
        <v>4.0</v>
      </c>
      <c r="AE107" s="1">
        <v>1.0</v>
      </c>
      <c r="AF107" s="3">
        <v>45900.0</v>
      </c>
      <c r="AG107" s="1" t="s">
        <v>55</v>
      </c>
      <c r="AH107" s="1" t="s">
        <v>56</v>
      </c>
      <c r="AI107" s="1" t="s">
        <v>56</v>
      </c>
      <c r="AJ107" s="1" t="s">
        <v>58</v>
      </c>
      <c r="AK107" s="1">
        <v>81623.0</v>
      </c>
      <c r="AL107" s="1" t="s">
        <v>59</v>
      </c>
      <c r="AM107" s="1" t="s">
        <v>60</v>
      </c>
      <c r="AN107" s="4" t="s">
        <v>461</v>
      </c>
      <c r="AO107" s="4" t="s">
        <v>462</v>
      </c>
      <c r="AP107" s="1" t="s">
        <v>463</v>
      </c>
      <c r="AQ107" s="1">
        <v>491079.0</v>
      </c>
      <c r="AR107" s="1">
        <v>39.4148096236</v>
      </c>
      <c r="AS107" s="1">
        <v>-107.2282015001</v>
      </c>
      <c r="AT107" s="5">
        <f t="shared" si="1"/>
        <v>41.81394958</v>
      </c>
      <c r="AU107" s="5">
        <f t="shared" si="2"/>
        <v>44185.20588</v>
      </c>
      <c r="AV107" s="5">
        <f t="shared" si="3"/>
        <v>-0.3665296049</v>
      </c>
      <c r="AW107" s="5">
        <f t="shared" si="4"/>
        <v>0.9531970043</v>
      </c>
      <c r="AX107" s="5">
        <f t="shared" si="5"/>
        <v>42117.20588</v>
      </c>
    </row>
    <row r="108">
      <c r="A108" s="1" t="s">
        <v>464</v>
      </c>
      <c r="B108" s="1" t="s">
        <v>456</v>
      </c>
      <c r="D108" s="1">
        <v>0.0</v>
      </c>
      <c r="E108" s="1">
        <v>1714.0</v>
      </c>
      <c r="F108" s="1">
        <v>0.0</v>
      </c>
      <c r="G108" s="1">
        <v>0.0</v>
      </c>
      <c r="H108" s="1">
        <v>48.0</v>
      </c>
      <c r="I108" s="1">
        <v>2.0</v>
      </c>
      <c r="J108" s="1">
        <v>2.0</v>
      </c>
      <c r="K108" s="1">
        <v>4.0</v>
      </c>
      <c r="L108" s="1" t="b">
        <v>1</v>
      </c>
      <c r="M108" s="1" t="b">
        <v>0</v>
      </c>
      <c r="N108" s="1" t="b">
        <v>0</v>
      </c>
      <c r="O108" s="1" t="b">
        <v>1</v>
      </c>
      <c r="P108" s="1" t="b">
        <v>1</v>
      </c>
      <c r="Q108" s="1" t="b">
        <v>0</v>
      </c>
      <c r="R108" s="1" t="b">
        <v>0</v>
      </c>
      <c r="S108" s="1" t="s">
        <v>51</v>
      </c>
      <c r="T108" s="1" t="s">
        <v>65</v>
      </c>
      <c r="U108" s="1" t="s">
        <v>53</v>
      </c>
      <c r="V108" s="1">
        <v>0.0</v>
      </c>
      <c r="W108" s="1">
        <v>0.0</v>
      </c>
      <c r="X108" s="1">
        <v>30.0</v>
      </c>
      <c r="Y108" s="1" t="s">
        <v>71</v>
      </c>
      <c r="Z108" s="1" t="s">
        <v>54</v>
      </c>
      <c r="AA108" s="1" t="b">
        <v>0</v>
      </c>
      <c r="AB108" s="1">
        <v>600.0</v>
      </c>
      <c r="AC108" s="1" t="b">
        <v>0</v>
      </c>
      <c r="AD108" s="1">
        <v>0.0</v>
      </c>
      <c r="AE108" s="1">
        <v>0.0</v>
      </c>
      <c r="AF108" s="3">
        <v>46158.0</v>
      </c>
      <c r="AG108" s="1" t="s">
        <v>55</v>
      </c>
      <c r="AH108" s="1" t="s">
        <v>56</v>
      </c>
      <c r="AI108" s="1" t="s">
        <v>57</v>
      </c>
      <c r="AJ108" s="1" t="s">
        <v>58</v>
      </c>
      <c r="AK108" s="1">
        <v>81654.0</v>
      </c>
      <c r="AL108" s="1" t="s">
        <v>59</v>
      </c>
      <c r="AM108" s="1" t="s">
        <v>60</v>
      </c>
      <c r="AN108" s="4" t="s">
        <v>465</v>
      </c>
      <c r="AO108" s="4" t="s">
        <v>466</v>
      </c>
      <c r="AP108" s="1" t="s">
        <v>467</v>
      </c>
      <c r="AQ108" s="1">
        <v>4191465.0</v>
      </c>
      <c r="AR108" s="1">
        <v>39.3147</v>
      </c>
      <c r="AS108" s="1">
        <v>-106.9804</v>
      </c>
      <c r="AT108" s="5">
        <f t="shared" si="1"/>
        <v>41.81394958</v>
      </c>
      <c r="AU108" s="5">
        <f t="shared" si="2"/>
        <v>44185.20588</v>
      </c>
      <c r="AV108" s="5">
        <f t="shared" si="3"/>
        <v>1</v>
      </c>
      <c r="AW108" s="5">
        <f t="shared" si="4"/>
        <v>1</v>
      </c>
      <c r="AX108" s="5">
        <f t="shared" si="5"/>
        <v>44185.20588</v>
      </c>
    </row>
    <row r="109">
      <c r="A109" s="1" t="s">
        <v>468</v>
      </c>
      <c r="B109" s="1">
        <v>4225787.0</v>
      </c>
      <c r="D109" s="1">
        <v>0.0</v>
      </c>
      <c r="E109" s="1">
        <v>8875.0</v>
      </c>
      <c r="F109" s="1">
        <v>0.0</v>
      </c>
      <c r="G109" s="1">
        <v>0.0</v>
      </c>
      <c r="H109" s="1">
        <v>4.0</v>
      </c>
      <c r="I109" s="1">
        <v>2.0</v>
      </c>
      <c r="J109" s="1">
        <v>2.0</v>
      </c>
      <c r="K109" s="1">
        <v>8.0</v>
      </c>
      <c r="L109" s="1" t="b">
        <v>0</v>
      </c>
      <c r="M109" s="1" t="b">
        <v>0</v>
      </c>
      <c r="N109" s="1" t="b">
        <v>0</v>
      </c>
      <c r="O109" s="1" t="b">
        <v>1</v>
      </c>
      <c r="P109" s="1" t="b">
        <v>1</v>
      </c>
      <c r="Q109" s="1" t="b">
        <v>0</v>
      </c>
      <c r="R109" s="1" t="b">
        <v>0</v>
      </c>
      <c r="S109" s="1" t="s">
        <v>51</v>
      </c>
      <c r="T109" s="1" t="s">
        <v>65</v>
      </c>
      <c r="U109" s="1" t="s">
        <v>53</v>
      </c>
      <c r="V109" s="1">
        <v>0.0</v>
      </c>
      <c r="W109" s="1">
        <v>0.0</v>
      </c>
      <c r="X109" s="1">
        <v>2.0</v>
      </c>
      <c r="Y109" s="2">
        <v>46058.0</v>
      </c>
      <c r="Z109" s="1" t="s">
        <v>54</v>
      </c>
      <c r="AA109" s="1" t="b">
        <v>1</v>
      </c>
      <c r="AB109" s="1">
        <v>160.0</v>
      </c>
      <c r="AC109" s="1" t="b">
        <v>1</v>
      </c>
      <c r="AD109" s="1">
        <v>0.0</v>
      </c>
      <c r="AE109" s="1">
        <v>0.0</v>
      </c>
      <c r="AF109" s="3">
        <v>46156.0</v>
      </c>
      <c r="AG109" s="1" t="s">
        <v>55</v>
      </c>
      <c r="AH109" s="1" t="s">
        <v>56</v>
      </c>
      <c r="AI109" s="1" t="s">
        <v>56</v>
      </c>
      <c r="AJ109" s="1" t="s">
        <v>58</v>
      </c>
      <c r="AK109" s="1">
        <v>81623.0</v>
      </c>
      <c r="AL109" s="1" t="s">
        <v>59</v>
      </c>
      <c r="AM109" s="1" t="s">
        <v>60</v>
      </c>
      <c r="AN109" s="4" t="s">
        <v>469</v>
      </c>
      <c r="AO109" s="4" t="s">
        <v>470</v>
      </c>
      <c r="AP109" s="1" t="s">
        <v>471</v>
      </c>
      <c r="AQ109" s="1">
        <v>4279874.0</v>
      </c>
      <c r="AR109" s="1">
        <v>39.4128993346</v>
      </c>
      <c r="AS109" s="1">
        <v>-107.2256356626</v>
      </c>
      <c r="AT109" s="5">
        <f t="shared" si="1"/>
        <v>41.81394958</v>
      </c>
      <c r="AU109" s="5">
        <f t="shared" si="2"/>
        <v>44185.20588</v>
      </c>
      <c r="AV109" s="5">
        <f t="shared" si="3"/>
        <v>1</v>
      </c>
      <c r="AW109" s="5">
        <f t="shared" si="4"/>
        <v>1</v>
      </c>
      <c r="AX109" s="5">
        <f t="shared" si="5"/>
        <v>44185.20588</v>
      </c>
    </row>
    <row r="110">
      <c r="A110" s="1" t="s">
        <v>472</v>
      </c>
      <c r="B110" s="1">
        <v>3.21854978E8</v>
      </c>
      <c r="D110" s="1">
        <v>0.0</v>
      </c>
      <c r="E110" s="1">
        <v>3980.0</v>
      </c>
      <c r="F110" s="1">
        <v>0.0</v>
      </c>
      <c r="G110" s="1">
        <v>0.0</v>
      </c>
      <c r="H110" s="1">
        <v>130.0</v>
      </c>
      <c r="I110" s="1">
        <v>4.0</v>
      </c>
      <c r="J110" s="1">
        <v>3.0</v>
      </c>
      <c r="K110" s="1">
        <v>8.0</v>
      </c>
      <c r="L110" s="1" t="b">
        <v>0</v>
      </c>
      <c r="M110" s="1" t="b">
        <v>0</v>
      </c>
      <c r="N110" s="1" t="b">
        <v>0</v>
      </c>
      <c r="O110" s="1" t="b">
        <v>1</v>
      </c>
      <c r="P110" s="1" t="b">
        <v>1</v>
      </c>
      <c r="Q110" s="1" t="b">
        <v>1</v>
      </c>
      <c r="R110" s="1" t="b">
        <v>0</v>
      </c>
      <c r="S110" s="1" t="s">
        <v>51</v>
      </c>
      <c r="T110" s="1" t="s">
        <v>65</v>
      </c>
      <c r="U110" s="1" t="s">
        <v>53</v>
      </c>
      <c r="V110" s="1">
        <v>0.0</v>
      </c>
      <c r="W110" s="1">
        <v>0.0</v>
      </c>
      <c r="X110" s="1">
        <v>2.0</v>
      </c>
      <c r="Y110" s="2">
        <v>46193.0</v>
      </c>
      <c r="Z110" s="1" t="s">
        <v>54</v>
      </c>
      <c r="AA110" s="1" t="b">
        <v>1</v>
      </c>
      <c r="AB110" s="1">
        <v>370.0</v>
      </c>
      <c r="AC110" s="1" t="b">
        <v>0</v>
      </c>
      <c r="AD110" s="1">
        <v>0.0</v>
      </c>
      <c r="AE110" s="1">
        <v>0.0</v>
      </c>
      <c r="AF110" s="3">
        <v>45947.0</v>
      </c>
      <c r="AG110" s="1" t="s">
        <v>55</v>
      </c>
      <c r="AH110" s="1" t="s">
        <v>56</v>
      </c>
      <c r="AI110" s="1" t="s">
        <v>56</v>
      </c>
      <c r="AJ110" s="1" t="s">
        <v>58</v>
      </c>
      <c r="AK110" s="1">
        <v>81623.0</v>
      </c>
      <c r="AL110" s="1" t="s">
        <v>59</v>
      </c>
      <c r="AM110" s="1" t="s">
        <v>60</v>
      </c>
      <c r="AN110" s="4" t="s">
        <v>473</v>
      </c>
      <c r="AO110" s="4" t="s">
        <v>474</v>
      </c>
      <c r="AP110" s="1" t="s">
        <v>475</v>
      </c>
      <c r="AR110" s="1">
        <v>39.0784492305</v>
      </c>
      <c r="AS110" s="1">
        <v>-107.2288824499</v>
      </c>
      <c r="AT110" s="5">
        <f t="shared" si="1"/>
        <v>41.81394958</v>
      </c>
      <c r="AU110" s="5">
        <f t="shared" si="2"/>
        <v>44185.20588</v>
      </c>
      <c r="AV110" s="5">
        <f t="shared" si="3"/>
        <v>1</v>
      </c>
      <c r="AW110" s="5">
        <f t="shared" si="4"/>
        <v>1</v>
      </c>
      <c r="AX110" s="5">
        <f t="shared" si="5"/>
        <v>44185.20588</v>
      </c>
    </row>
    <row r="111">
      <c r="A111" s="1" t="s">
        <v>476</v>
      </c>
      <c r="B111" s="1">
        <v>6.94898016E8</v>
      </c>
      <c r="D111" s="1">
        <v>0.0</v>
      </c>
      <c r="E111" s="1">
        <v>0.0</v>
      </c>
      <c r="F111" s="1">
        <v>0.0</v>
      </c>
      <c r="G111" s="1">
        <v>0.0</v>
      </c>
      <c r="H111" s="1">
        <v>59.0</v>
      </c>
      <c r="I111" s="1">
        <v>2.0</v>
      </c>
      <c r="J111" s="1">
        <v>1.0</v>
      </c>
      <c r="K111" s="1">
        <v>6.0</v>
      </c>
      <c r="L111" s="1" t="b">
        <v>0</v>
      </c>
      <c r="M111" s="1" t="b">
        <v>0</v>
      </c>
      <c r="N111" s="1" t="b">
        <v>0</v>
      </c>
      <c r="O111" s="1" t="b">
        <v>1</v>
      </c>
      <c r="P111" s="1" t="b">
        <v>1</v>
      </c>
      <c r="Q111" s="1" t="b">
        <v>0</v>
      </c>
      <c r="R111" s="1" t="b">
        <v>0</v>
      </c>
      <c r="S111" s="1" t="s">
        <v>51</v>
      </c>
      <c r="T111" s="1" t="s">
        <v>65</v>
      </c>
      <c r="U111" s="1" t="s">
        <v>53</v>
      </c>
      <c r="V111" s="1">
        <v>0.0</v>
      </c>
      <c r="W111" s="1">
        <v>0.0</v>
      </c>
      <c r="X111" s="1">
        <v>7.0</v>
      </c>
      <c r="Y111" s="1">
        <v>1.0</v>
      </c>
      <c r="Z111" s="1" t="s">
        <v>54</v>
      </c>
      <c r="AA111" s="1" t="b">
        <v>0</v>
      </c>
      <c r="AB111" s="1">
        <v>0.0</v>
      </c>
      <c r="AC111" s="1" t="b">
        <v>0</v>
      </c>
      <c r="AD111" s="1">
        <v>0.0</v>
      </c>
      <c r="AE111" s="1">
        <v>0.0</v>
      </c>
      <c r="AF111" s="3">
        <v>45793.0</v>
      </c>
      <c r="AG111" s="1" t="s">
        <v>55</v>
      </c>
      <c r="AH111" s="1" t="s">
        <v>56</v>
      </c>
      <c r="AI111" s="1" t="s">
        <v>57</v>
      </c>
      <c r="AJ111" s="1" t="s">
        <v>58</v>
      </c>
      <c r="AK111" s="1">
        <v>81654.0</v>
      </c>
      <c r="AL111" s="1" t="s">
        <v>59</v>
      </c>
      <c r="AM111" s="1" t="s">
        <v>60</v>
      </c>
      <c r="AN111" s="4" t="s">
        <v>477</v>
      </c>
      <c r="AO111" s="4" t="s">
        <v>478</v>
      </c>
      <c r="AP111" s="1" t="s">
        <v>479</v>
      </c>
      <c r="AR111" s="1">
        <v>39.3012394124</v>
      </c>
      <c r="AS111" s="1">
        <v>-107.0066793635</v>
      </c>
      <c r="AT111" s="5">
        <f t="shared" si="1"/>
        <v>41.81394958</v>
      </c>
      <c r="AU111" s="5">
        <f t="shared" si="2"/>
        <v>44185.20588</v>
      </c>
      <c r="AV111" s="5">
        <f t="shared" si="3"/>
        <v>1</v>
      </c>
      <c r="AW111" s="5">
        <f t="shared" si="4"/>
        <v>1</v>
      </c>
      <c r="AX111" s="5">
        <f t="shared" si="5"/>
        <v>44185.20588</v>
      </c>
    </row>
    <row r="112">
      <c r="A112" s="1" t="s">
        <v>480</v>
      </c>
      <c r="B112" s="1">
        <v>1533130.0</v>
      </c>
      <c r="D112" s="1">
        <v>0.0</v>
      </c>
      <c r="E112" s="1">
        <v>24.0</v>
      </c>
      <c r="F112" s="1">
        <v>0.0</v>
      </c>
      <c r="G112" s="1">
        <v>0.0</v>
      </c>
      <c r="H112" s="1">
        <v>89.0</v>
      </c>
      <c r="I112" s="1">
        <v>1.0</v>
      </c>
      <c r="J112" s="1">
        <v>1.0</v>
      </c>
      <c r="K112" s="1">
        <v>2.0</v>
      </c>
      <c r="L112" s="1" t="b">
        <v>0</v>
      </c>
      <c r="M112" s="1" t="b">
        <v>0</v>
      </c>
      <c r="N112" s="1" t="b">
        <v>0</v>
      </c>
      <c r="O112" s="1" t="b">
        <v>1</v>
      </c>
      <c r="P112" s="1" t="b">
        <v>1</v>
      </c>
      <c r="Q112" s="1" t="b">
        <v>0</v>
      </c>
      <c r="R112" s="1" t="b">
        <v>0</v>
      </c>
      <c r="S112" s="1" t="s">
        <v>51</v>
      </c>
      <c r="T112" s="1" t="s">
        <v>65</v>
      </c>
      <c r="U112" s="1" t="s">
        <v>53</v>
      </c>
      <c r="V112" s="1">
        <v>4.95</v>
      </c>
      <c r="W112" s="1">
        <v>60.0</v>
      </c>
      <c r="X112" s="1">
        <v>3.0</v>
      </c>
      <c r="Y112" s="2">
        <v>46058.0</v>
      </c>
      <c r="Z112" s="1" t="s">
        <v>54</v>
      </c>
      <c r="AA112" s="1" t="b">
        <v>0</v>
      </c>
      <c r="AB112" s="1">
        <v>186.0</v>
      </c>
      <c r="AC112" s="1" t="b">
        <v>0</v>
      </c>
      <c r="AD112" s="1">
        <v>0.0</v>
      </c>
      <c r="AE112" s="1">
        <v>0.0</v>
      </c>
      <c r="AF112" s="3">
        <v>46051.0</v>
      </c>
      <c r="AG112" s="1" t="s">
        <v>55</v>
      </c>
      <c r="AH112" s="1" t="s">
        <v>56</v>
      </c>
      <c r="AI112" s="1" t="s">
        <v>56</v>
      </c>
      <c r="AJ112" s="1" t="s">
        <v>58</v>
      </c>
      <c r="AK112" s="1">
        <v>81623.0</v>
      </c>
      <c r="AL112" s="1" t="s">
        <v>59</v>
      </c>
      <c r="AM112" s="1" t="s">
        <v>60</v>
      </c>
      <c r="AN112" s="4" t="s">
        <v>481</v>
      </c>
      <c r="AO112" s="4" t="s">
        <v>482</v>
      </c>
      <c r="AP112" s="1">
        <v>1.5799887E7</v>
      </c>
      <c r="AR112" s="1">
        <v>39.45079</v>
      </c>
      <c r="AS112" s="1">
        <v>-107.13814</v>
      </c>
      <c r="AT112" s="5">
        <f t="shared" si="1"/>
        <v>41.81394958</v>
      </c>
      <c r="AU112" s="5">
        <f t="shared" si="2"/>
        <v>44185.20588</v>
      </c>
      <c r="AV112" s="5">
        <f t="shared" si="3"/>
        <v>1</v>
      </c>
      <c r="AW112" s="5">
        <f t="shared" si="4"/>
        <v>1</v>
      </c>
      <c r="AX112" s="5">
        <f t="shared" si="5"/>
        <v>44185.20588</v>
      </c>
    </row>
    <row r="113">
      <c r="A113" s="1" t="s">
        <v>483</v>
      </c>
      <c r="B113" s="1">
        <v>1.02739827E8</v>
      </c>
      <c r="D113" s="1">
        <v>0.0</v>
      </c>
      <c r="E113" s="1">
        <v>0.0</v>
      </c>
      <c r="F113" s="1">
        <v>0.0</v>
      </c>
      <c r="G113" s="1">
        <v>0.0</v>
      </c>
      <c r="H113" s="1">
        <v>365.0</v>
      </c>
      <c r="I113" s="1">
        <v>3.0</v>
      </c>
      <c r="J113" s="1">
        <v>2.0</v>
      </c>
      <c r="K113" s="1">
        <v>6.0</v>
      </c>
      <c r="L113" s="1" t="b">
        <v>0</v>
      </c>
      <c r="M113" s="1" t="b">
        <v>0</v>
      </c>
      <c r="N113" s="1" t="b">
        <v>0</v>
      </c>
      <c r="O113" s="1" t="b">
        <v>1</v>
      </c>
      <c r="P113" s="1" t="b">
        <v>1</v>
      </c>
      <c r="Q113" s="1" t="b">
        <v>1</v>
      </c>
      <c r="R113" s="1" t="b">
        <v>0</v>
      </c>
      <c r="S113" s="1" t="s">
        <v>51</v>
      </c>
      <c r="T113" s="1" t="s">
        <v>65</v>
      </c>
      <c r="U113" s="1" t="s">
        <v>53</v>
      </c>
      <c r="V113" s="1">
        <v>5.0</v>
      </c>
      <c r="W113" s="1">
        <v>4.0</v>
      </c>
      <c r="X113" s="1">
        <v>180.0</v>
      </c>
      <c r="Y113" s="1">
        <v>1.0</v>
      </c>
      <c r="Z113" s="1" t="s">
        <v>54</v>
      </c>
      <c r="AA113" s="1" t="b">
        <v>0</v>
      </c>
      <c r="AB113" s="1">
        <v>200.0</v>
      </c>
      <c r="AC113" s="1" t="b">
        <v>0</v>
      </c>
      <c r="AD113" s="1">
        <v>0.0</v>
      </c>
      <c r="AE113" s="1">
        <v>0.0</v>
      </c>
      <c r="AF113" s="3">
        <v>46156.0</v>
      </c>
      <c r="AG113" s="1" t="s">
        <v>55</v>
      </c>
      <c r="AH113" s="1" t="s">
        <v>56</v>
      </c>
      <c r="AI113" s="1" t="s">
        <v>56</v>
      </c>
      <c r="AJ113" s="1" t="s">
        <v>58</v>
      </c>
      <c r="AK113" s="1">
        <v>81623.0</v>
      </c>
      <c r="AL113" s="1" t="s">
        <v>59</v>
      </c>
      <c r="AM113" s="1" t="s">
        <v>60</v>
      </c>
      <c r="AN113" s="4" t="s">
        <v>484</v>
      </c>
      <c r="AO113" s="4" t="s">
        <v>485</v>
      </c>
      <c r="AP113" s="1">
        <v>1.5872791E7</v>
      </c>
      <c r="AR113" s="1">
        <v>39.40658</v>
      </c>
      <c r="AS113" s="1">
        <v>-107.1583</v>
      </c>
      <c r="AT113" s="5">
        <f t="shared" si="1"/>
        <v>41.81394958</v>
      </c>
      <c r="AU113" s="5">
        <f t="shared" si="2"/>
        <v>44185.20588</v>
      </c>
      <c r="AV113" s="5">
        <f t="shared" si="3"/>
        <v>1</v>
      </c>
      <c r="AW113" s="5">
        <f t="shared" si="4"/>
        <v>1</v>
      </c>
      <c r="AX113" s="5">
        <f t="shared" si="5"/>
        <v>44185.20588</v>
      </c>
    </row>
    <row r="114">
      <c r="A114" s="1" t="s">
        <v>486</v>
      </c>
      <c r="B114" s="1" t="s">
        <v>128</v>
      </c>
      <c r="D114" s="1">
        <v>0.0</v>
      </c>
      <c r="E114" s="1">
        <v>5954.0</v>
      </c>
      <c r="F114" s="1">
        <v>0.0</v>
      </c>
      <c r="G114" s="1">
        <v>0.0</v>
      </c>
      <c r="H114" s="1">
        <v>1.0</v>
      </c>
      <c r="J114" s="1">
        <v>1.0</v>
      </c>
      <c r="K114" s="1">
        <v>2.0</v>
      </c>
      <c r="L114" s="1" t="b">
        <v>0</v>
      </c>
      <c r="M114" s="1" t="b">
        <v>0</v>
      </c>
      <c r="N114" s="1" t="b">
        <v>0</v>
      </c>
      <c r="O114" s="1" t="b">
        <v>1</v>
      </c>
      <c r="P114" s="1" t="b">
        <v>1</v>
      </c>
      <c r="Q114" s="1" t="b">
        <v>0</v>
      </c>
      <c r="R114" s="1" t="b">
        <v>0</v>
      </c>
      <c r="S114" s="1" t="s">
        <v>51</v>
      </c>
      <c r="T114" s="1" t="s">
        <v>487</v>
      </c>
      <c r="U114" s="1" t="s">
        <v>164</v>
      </c>
      <c r="V114" s="1">
        <v>4.8</v>
      </c>
      <c r="W114" s="1">
        <v>162.0</v>
      </c>
      <c r="X114" s="1">
        <v>4.0</v>
      </c>
      <c r="Y114" s="1" t="s">
        <v>71</v>
      </c>
      <c r="Z114" s="1" t="s">
        <v>54</v>
      </c>
      <c r="AA114" s="1" t="b">
        <v>1</v>
      </c>
      <c r="AB114" s="1">
        <v>104.0</v>
      </c>
      <c r="AC114" s="1" t="b">
        <v>1</v>
      </c>
      <c r="AD114" s="1">
        <v>0.0</v>
      </c>
      <c r="AE114" s="1">
        <v>0.0</v>
      </c>
      <c r="AF114" s="3">
        <v>45795.0</v>
      </c>
      <c r="AG114" s="1" t="s">
        <v>55</v>
      </c>
      <c r="AH114" s="1" t="s">
        <v>56</v>
      </c>
      <c r="AI114" s="1" t="s">
        <v>57</v>
      </c>
      <c r="AJ114" s="1" t="s">
        <v>58</v>
      </c>
      <c r="AK114" s="1">
        <v>81654.0</v>
      </c>
      <c r="AL114" s="1" t="s">
        <v>59</v>
      </c>
      <c r="AM114" s="1" t="s">
        <v>60</v>
      </c>
      <c r="AN114" s="4" t="s">
        <v>488</v>
      </c>
      <c r="AO114" s="4" t="s">
        <v>489</v>
      </c>
      <c r="AP114" s="1">
        <v>1.8446761E7</v>
      </c>
      <c r="AQ114" s="1" t="s">
        <v>490</v>
      </c>
      <c r="AR114" s="1">
        <v>39.26051</v>
      </c>
      <c r="AS114" s="1">
        <v>-106.96539</v>
      </c>
      <c r="AT114" s="5">
        <f t="shared" si="1"/>
        <v>41.81394958</v>
      </c>
      <c r="AU114" s="5">
        <f t="shared" si="2"/>
        <v>44185.20588</v>
      </c>
      <c r="AV114" s="5">
        <f t="shared" si="3"/>
        <v>1</v>
      </c>
      <c r="AW114" s="5">
        <f t="shared" si="4"/>
        <v>1</v>
      </c>
      <c r="AX114" s="5">
        <f t="shared" si="5"/>
        <v>44185.20588</v>
      </c>
    </row>
    <row r="115">
      <c r="A115" s="1" t="s">
        <v>491</v>
      </c>
      <c r="B115" s="1">
        <v>1.7345747E7</v>
      </c>
      <c r="D115" s="1">
        <v>0.0</v>
      </c>
      <c r="E115" s="1">
        <v>25676.0</v>
      </c>
      <c r="F115" s="1">
        <v>0.0</v>
      </c>
      <c r="G115" s="1">
        <v>0.0</v>
      </c>
      <c r="H115" s="1">
        <v>9.0</v>
      </c>
      <c r="I115" s="1">
        <v>3.0</v>
      </c>
      <c r="J115" s="1">
        <v>2.0</v>
      </c>
      <c r="K115" s="1">
        <v>6.0</v>
      </c>
      <c r="L115" s="1" t="b">
        <v>0</v>
      </c>
      <c r="M115" s="1" t="b">
        <v>0</v>
      </c>
      <c r="N115" s="1" t="b">
        <v>0</v>
      </c>
      <c r="O115" s="1" t="b">
        <v>1</v>
      </c>
      <c r="P115" s="1" t="b">
        <v>1</v>
      </c>
      <c r="Q115" s="1" t="b">
        <v>1</v>
      </c>
      <c r="R115" s="1" t="b">
        <v>0</v>
      </c>
      <c r="S115" s="1" t="s">
        <v>51</v>
      </c>
      <c r="T115" s="1" t="s">
        <v>362</v>
      </c>
      <c r="U115" s="1" t="s">
        <v>53</v>
      </c>
      <c r="V115" s="1">
        <v>4.95</v>
      </c>
      <c r="W115" s="1">
        <v>60.0</v>
      </c>
      <c r="X115" s="1">
        <v>3.0</v>
      </c>
      <c r="Y115" s="2">
        <v>46058.0</v>
      </c>
      <c r="Z115" s="1" t="s">
        <v>54</v>
      </c>
      <c r="AA115" s="1" t="b">
        <v>0</v>
      </c>
      <c r="AB115" s="1">
        <v>150.0</v>
      </c>
      <c r="AC115" s="1" t="b">
        <v>0</v>
      </c>
      <c r="AD115" s="1">
        <v>0.0</v>
      </c>
      <c r="AE115" s="1">
        <v>0.0</v>
      </c>
      <c r="AF115" s="3">
        <v>46156.0</v>
      </c>
      <c r="AG115" s="1" t="s">
        <v>55</v>
      </c>
      <c r="AH115" s="1" t="s">
        <v>56</v>
      </c>
      <c r="AI115" s="1" t="s">
        <v>56</v>
      </c>
      <c r="AJ115" s="1" t="s">
        <v>58</v>
      </c>
      <c r="AK115" s="1">
        <v>81623.0</v>
      </c>
      <c r="AL115" s="1" t="s">
        <v>59</v>
      </c>
      <c r="AM115" s="1" t="s">
        <v>60</v>
      </c>
      <c r="AN115" s="4" t="s">
        <v>492</v>
      </c>
      <c r="AO115" s="4" t="s">
        <v>493</v>
      </c>
      <c r="AP115" s="1">
        <v>4.7257319E7</v>
      </c>
      <c r="AQ115" s="1">
        <v>2248573.0</v>
      </c>
      <c r="AR115" s="1">
        <v>39.42586</v>
      </c>
      <c r="AS115" s="1">
        <v>-107.12119</v>
      </c>
      <c r="AT115" s="5">
        <f t="shared" si="1"/>
        <v>41.81394958</v>
      </c>
      <c r="AU115" s="5">
        <f t="shared" si="2"/>
        <v>44185.20588</v>
      </c>
      <c r="AV115" s="5">
        <f t="shared" si="3"/>
        <v>1</v>
      </c>
      <c r="AW115" s="5">
        <f t="shared" si="4"/>
        <v>1</v>
      </c>
      <c r="AX115" s="5">
        <f t="shared" si="5"/>
        <v>44185.20588</v>
      </c>
    </row>
    <row r="116">
      <c r="A116" s="1" t="s">
        <v>494</v>
      </c>
      <c r="B116" s="1">
        <v>2.5242173E8</v>
      </c>
      <c r="D116" s="1">
        <v>0.0</v>
      </c>
      <c r="E116" s="1">
        <v>0.0</v>
      </c>
      <c r="F116" s="1">
        <v>0.0</v>
      </c>
      <c r="G116" s="1">
        <v>0.0</v>
      </c>
      <c r="H116" s="1">
        <v>365.0</v>
      </c>
      <c r="K116" s="1">
        <v>7.0</v>
      </c>
      <c r="L116" s="1" t="b">
        <v>1</v>
      </c>
      <c r="M116" s="1" t="b">
        <v>0</v>
      </c>
      <c r="N116" s="1" t="b">
        <v>0</v>
      </c>
      <c r="O116" s="1" t="b">
        <v>1</v>
      </c>
      <c r="P116" s="1" t="b">
        <v>1</v>
      </c>
      <c r="Q116" s="1" t="b">
        <v>0</v>
      </c>
      <c r="R116" s="1" t="b">
        <v>0</v>
      </c>
      <c r="S116" s="1" t="s">
        <v>51</v>
      </c>
      <c r="T116" s="1" t="s">
        <v>202</v>
      </c>
      <c r="U116" s="1" t="s">
        <v>53</v>
      </c>
      <c r="V116" s="1">
        <v>0.0</v>
      </c>
      <c r="W116" s="1">
        <v>0.0</v>
      </c>
      <c r="X116" s="1">
        <v>200.0</v>
      </c>
      <c r="Y116" s="1">
        <v>1.0</v>
      </c>
      <c r="Z116" s="1" t="s">
        <v>54</v>
      </c>
      <c r="AA116" s="1" t="b">
        <v>0</v>
      </c>
      <c r="AB116" s="1">
        <v>225.0</v>
      </c>
      <c r="AC116" s="1" t="b">
        <v>1</v>
      </c>
      <c r="AD116" s="1">
        <v>0.0</v>
      </c>
      <c r="AE116" s="1">
        <v>0.0</v>
      </c>
      <c r="AF116" s="3">
        <v>46157.0</v>
      </c>
      <c r="AG116" s="1" t="s">
        <v>55</v>
      </c>
      <c r="AH116" s="1" t="s">
        <v>56</v>
      </c>
      <c r="AI116" s="1" t="s">
        <v>56</v>
      </c>
      <c r="AJ116" s="1" t="s">
        <v>58</v>
      </c>
      <c r="AK116" s="1">
        <v>81623.0</v>
      </c>
      <c r="AL116" s="1" t="s">
        <v>59</v>
      </c>
      <c r="AM116" s="1" t="s">
        <v>60</v>
      </c>
      <c r="AN116" s="4" t="s">
        <v>495</v>
      </c>
      <c r="AO116" s="4" t="s">
        <v>496</v>
      </c>
      <c r="AP116" s="1">
        <v>5.2379492E7</v>
      </c>
      <c r="AR116" s="1">
        <v>39.40908</v>
      </c>
      <c r="AS116" s="1">
        <v>-107.13886</v>
      </c>
      <c r="AT116" s="5">
        <f t="shared" si="1"/>
        <v>41.81394958</v>
      </c>
      <c r="AU116" s="5">
        <f t="shared" si="2"/>
        <v>44185.20588</v>
      </c>
      <c r="AV116" s="5">
        <f t="shared" si="3"/>
        <v>1</v>
      </c>
      <c r="AW116" s="5">
        <f t="shared" si="4"/>
        <v>1</v>
      </c>
      <c r="AX116" s="5">
        <f t="shared" si="5"/>
        <v>44185.20588</v>
      </c>
    </row>
    <row r="117">
      <c r="A117" s="1" t="s">
        <v>497</v>
      </c>
      <c r="B117" s="1">
        <v>1.03740201E8</v>
      </c>
      <c r="D117" s="1">
        <v>0.0</v>
      </c>
      <c r="E117" s="1">
        <v>2289.0</v>
      </c>
      <c r="F117" s="1">
        <v>0.0</v>
      </c>
      <c r="G117" s="1">
        <v>0.0</v>
      </c>
      <c r="H117" s="1">
        <v>353.0</v>
      </c>
      <c r="I117" s="1">
        <v>5.0</v>
      </c>
      <c r="J117" s="1">
        <v>6.0</v>
      </c>
      <c r="K117" s="1">
        <v>10.0</v>
      </c>
      <c r="L117" s="1" t="b">
        <v>1</v>
      </c>
      <c r="M117" s="1" t="b">
        <v>0</v>
      </c>
      <c r="N117" s="1" t="b">
        <v>1</v>
      </c>
      <c r="O117" s="1" t="b">
        <v>1</v>
      </c>
      <c r="P117" s="1" t="b">
        <v>1</v>
      </c>
      <c r="Q117" s="1" t="b">
        <v>0</v>
      </c>
      <c r="R117" s="1" t="b">
        <v>0</v>
      </c>
      <c r="S117" s="1" t="s">
        <v>51</v>
      </c>
      <c r="T117" s="1" t="s">
        <v>52</v>
      </c>
      <c r="U117" s="1" t="s">
        <v>53</v>
      </c>
      <c r="V117" s="1">
        <v>0.0</v>
      </c>
      <c r="W117" s="1">
        <v>0.0</v>
      </c>
      <c r="X117" s="1">
        <v>7.0</v>
      </c>
      <c r="Y117" s="1">
        <v>1.0</v>
      </c>
      <c r="Z117" s="1" t="s">
        <v>54</v>
      </c>
      <c r="AA117" s="1" t="b">
        <v>0</v>
      </c>
      <c r="AB117" s="1">
        <v>200.0</v>
      </c>
      <c r="AC117" s="1" t="b">
        <v>0</v>
      </c>
      <c r="AD117" s="1">
        <v>0.0</v>
      </c>
      <c r="AE117" s="1">
        <v>0.0</v>
      </c>
      <c r="AF117" s="3">
        <v>46157.0</v>
      </c>
      <c r="AG117" s="1" t="s">
        <v>55</v>
      </c>
      <c r="AH117" s="1" t="s">
        <v>56</v>
      </c>
      <c r="AI117" s="1" t="s">
        <v>56</v>
      </c>
      <c r="AJ117" s="1" t="s">
        <v>58</v>
      </c>
      <c r="AK117" s="1">
        <v>81623.0</v>
      </c>
      <c r="AL117" s="1" t="s">
        <v>59</v>
      </c>
      <c r="AM117" s="1" t="s">
        <v>60</v>
      </c>
      <c r="AN117" s="4" t="s">
        <v>498</v>
      </c>
      <c r="AO117" s="4" t="s">
        <v>499</v>
      </c>
      <c r="AP117" s="1">
        <v>5.272012E7</v>
      </c>
      <c r="AR117" s="1">
        <v>39.4532</v>
      </c>
      <c r="AS117" s="1">
        <v>-107.1192</v>
      </c>
      <c r="AT117" s="5">
        <f t="shared" si="1"/>
        <v>41.81394958</v>
      </c>
      <c r="AU117" s="5">
        <f t="shared" si="2"/>
        <v>44185.20588</v>
      </c>
      <c r="AV117" s="5">
        <f t="shared" si="3"/>
        <v>1</v>
      </c>
      <c r="AW117" s="5">
        <f t="shared" si="4"/>
        <v>1</v>
      </c>
      <c r="AX117" s="5">
        <f t="shared" si="5"/>
        <v>44185.20588</v>
      </c>
    </row>
    <row r="118">
      <c r="A118" s="1" t="s">
        <v>500</v>
      </c>
      <c r="B118" s="1">
        <v>4.4270752E7</v>
      </c>
      <c r="D118" s="1">
        <v>0.0</v>
      </c>
      <c r="E118" s="1">
        <v>0.0</v>
      </c>
      <c r="F118" s="1">
        <v>0.0</v>
      </c>
      <c r="G118" s="1">
        <v>0.0</v>
      </c>
      <c r="H118" s="1">
        <v>365.0</v>
      </c>
      <c r="I118" s="1">
        <v>3.0</v>
      </c>
      <c r="J118" s="1">
        <v>2.0</v>
      </c>
      <c r="K118" s="1">
        <v>6.0</v>
      </c>
      <c r="L118" s="1" t="b">
        <v>1</v>
      </c>
      <c r="M118" s="1" t="b">
        <v>1</v>
      </c>
      <c r="N118" s="1" t="b">
        <v>1</v>
      </c>
      <c r="O118" s="1" t="b">
        <v>1</v>
      </c>
      <c r="P118" s="1" t="b">
        <v>1</v>
      </c>
      <c r="Q118" s="1" t="b">
        <v>1</v>
      </c>
      <c r="R118" s="1" t="b">
        <v>1</v>
      </c>
      <c r="S118" s="1" t="s">
        <v>51</v>
      </c>
      <c r="T118" s="1" t="s">
        <v>65</v>
      </c>
      <c r="U118" s="1" t="s">
        <v>53</v>
      </c>
      <c r="V118" s="1">
        <v>0.0</v>
      </c>
      <c r="W118" s="1">
        <v>0.0</v>
      </c>
      <c r="X118" s="1">
        <v>100.0</v>
      </c>
      <c r="Y118" s="1" t="s">
        <v>71</v>
      </c>
      <c r="Z118" s="1" t="s">
        <v>54</v>
      </c>
      <c r="AA118" s="1" t="b">
        <v>0</v>
      </c>
      <c r="AB118" s="1">
        <v>0.0</v>
      </c>
      <c r="AC118" s="1" t="b">
        <v>0</v>
      </c>
      <c r="AD118" s="1">
        <v>0.0</v>
      </c>
      <c r="AE118" s="1">
        <v>0.0</v>
      </c>
      <c r="AF118" s="3">
        <v>46157.0</v>
      </c>
      <c r="AG118" s="1" t="s">
        <v>55</v>
      </c>
      <c r="AH118" s="1" t="s">
        <v>56</v>
      </c>
      <c r="AI118" s="1" t="s">
        <v>56</v>
      </c>
      <c r="AJ118" s="1" t="s">
        <v>58</v>
      </c>
      <c r="AK118" s="1">
        <v>81623.0</v>
      </c>
      <c r="AL118" s="1" t="s">
        <v>59</v>
      </c>
      <c r="AM118" s="1" t="s">
        <v>60</v>
      </c>
      <c r="AN118" s="4" t="s">
        <v>501</v>
      </c>
      <c r="AO118" s="4" t="s">
        <v>502</v>
      </c>
      <c r="AP118" s="1">
        <v>5.3543566E7</v>
      </c>
      <c r="AQ118" s="1">
        <v>2989667.0</v>
      </c>
      <c r="AR118" s="1">
        <v>39.4084</v>
      </c>
      <c r="AS118" s="1">
        <v>-107.15321</v>
      </c>
      <c r="AT118" s="5">
        <f t="shared" si="1"/>
        <v>41.81394958</v>
      </c>
      <c r="AU118" s="5">
        <f t="shared" si="2"/>
        <v>44185.20588</v>
      </c>
      <c r="AV118" s="5">
        <f t="shared" si="3"/>
        <v>1</v>
      </c>
      <c r="AW118" s="5">
        <f t="shared" si="4"/>
        <v>1</v>
      </c>
      <c r="AX118" s="5">
        <f t="shared" si="5"/>
        <v>44185.20588</v>
      </c>
    </row>
    <row r="119">
      <c r="A119" s="1" t="s">
        <v>503</v>
      </c>
      <c r="B119" s="1">
        <v>5.3865279E7</v>
      </c>
      <c r="D119" s="1">
        <v>0.0</v>
      </c>
      <c r="E119" s="1">
        <v>2772.0</v>
      </c>
      <c r="F119" s="1">
        <v>0.0</v>
      </c>
      <c r="G119" s="1">
        <v>0.0</v>
      </c>
      <c r="H119" s="1">
        <v>15.0</v>
      </c>
      <c r="I119" s="1">
        <v>2.0</v>
      </c>
      <c r="J119" s="1">
        <v>1.0</v>
      </c>
      <c r="K119" s="1">
        <v>4.0</v>
      </c>
      <c r="L119" s="1" t="b">
        <v>0</v>
      </c>
      <c r="M119" s="1" t="b">
        <v>0</v>
      </c>
      <c r="N119" s="1" t="b">
        <v>0</v>
      </c>
      <c r="O119" s="1" t="b">
        <v>1</v>
      </c>
      <c r="P119" s="1" t="b">
        <v>1</v>
      </c>
      <c r="Q119" s="1" t="b">
        <v>0</v>
      </c>
      <c r="R119" s="1" t="b">
        <v>0</v>
      </c>
      <c r="S119" s="1" t="s">
        <v>51</v>
      </c>
      <c r="T119" s="1" t="s">
        <v>65</v>
      </c>
      <c r="U119" s="1" t="s">
        <v>53</v>
      </c>
      <c r="V119" s="1">
        <v>5.0</v>
      </c>
      <c r="W119" s="1">
        <v>3.0</v>
      </c>
      <c r="X119" s="1">
        <v>3.0</v>
      </c>
      <c r="Y119" s="2">
        <v>46058.0</v>
      </c>
      <c r="Z119" s="1" t="s">
        <v>54</v>
      </c>
      <c r="AA119" s="1" t="b">
        <v>0</v>
      </c>
      <c r="AB119" s="1">
        <v>150.0</v>
      </c>
      <c r="AC119" s="1" t="b">
        <v>0</v>
      </c>
      <c r="AD119" s="1">
        <v>0.0</v>
      </c>
      <c r="AE119" s="1">
        <v>0.0</v>
      </c>
      <c r="AF119" s="3">
        <v>45790.0</v>
      </c>
      <c r="AG119" s="1" t="s">
        <v>55</v>
      </c>
      <c r="AH119" s="1" t="s">
        <v>56</v>
      </c>
      <c r="AI119" s="1" t="s">
        <v>56</v>
      </c>
      <c r="AJ119" s="1" t="s">
        <v>58</v>
      </c>
      <c r="AK119" s="1">
        <v>81623.0</v>
      </c>
      <c r="AL119" s="1" t="s">
        <v>59</v>
      </c>
      <c r="AM119" s="1" t="s">
        <v>60</v>
      </c>
      <c r="AN119" s="4" t="s">
        <v>504</v>
      </c>
      <c r="AO119" s="4" t="s">
        <v>505</v>
      </c>
      <c r="AP119" s="1" t="s">
        <v>506</v>
      </c>
      <c r="AR119" s="1">
        <v>39.41493</v>
      </c>
      <c r="AS119" s="1">
        <v>-107.22937</v>
      </c>
      <c r="AT119" s="5">
        <f t="shared" si="1"/>
        <v>41.81394958</v>
      </c>
      <c r="AU119" s="5">
        <f t="shared" si="2"/>
        <v>44185.20588</v>
      </c>
      <c r="AV119" s="5">
        <f t="shared" si="3"/>
        <v>1</v>
      </c>
      <c r="AW119" s="5">
        <f t="shared" si="4"/>
        <v>1</v>
      </c>
      <c r="AX119" s="5">
        <f t="shared" si="5"/>
        <v>44185.20588</v>
      </c>
    </row>
    <row r="120">
      <c r="A120" s="1" t="s">
        <v>507</v>
      </c>
      <c r="B120" s="1">
        <v>7.9388695E7</v>
      </c>
      <c r="D120" s="1">
        <v>0.0</v>
      </c>
      <c r="E120" s="1">
        <v>7170.0</v>
      </c>
      <c r="F120" s="1">
        <v>0.0</v>
      </c>
      <c r="G120" s="1">
        <v>0.0</v>
      </c>
      <c r="H120" s="1">
        <v>4.0</v>
      </c>
      <c r="I120" s="1">
        <v>3.0</v>
      </c>
      <c r="J120" s="1">
        <v>1.0</v>
      </c>
      <c r="K120" s="1">
        <v>6.0</v>
      </c>
      <c r="L120" s="1" t="b">
        <v>0</v>
      </c>
      <c r="M120" s="1" t="b">
        <v>0</v>
      </c>
      <c r="N120" s="1" t="b">
        <v>0</v>
      </c>
      <c r="O120" s="1" t="b">
        <v>1</v>
      </c>
      <c r="P120" s="1" t="b">
        <v>1</v>
      </c>
      <c r="Q120" s="1" t="b">
        <v>1</v>
      </c>
      <c r="R120" s="1" t="b">
        <v>0</v>
      </c>
      <c r="S120" s="1" t="s">
        <v>51</v>
      </c>
      <c r="T120" s="1" t="s">
        <v>65</v>
      </c>
      <c r="U120" s="1" t="s">
        <v>53</v>
      </c>
      <c r="V120" s="1">
        <v>5.0</v>
      </c>
      <c r="W120" s="1">
        <v>16.0</v>
      </c>
      <c r="X120" s="1">
        <v>3.0</v>
      </c>
      <c r="Y120" s="1">
        <v>1.0</v>
      </c>
      <c r="Z120" s="1" t="s">
        <v>54</v>
      </c>
      <c r="AA120" s="1" t="b">
        <v>1</v>
      </c>
      <c r="AB120" s="1">
        <v>173.0</v>
      </c>
      <c r="AC120" s="1" t="b">
        <v>0</v>
      </c>
      <c r="AD120" s="1">
        <v>0.0</v>
      </c>
      <c r="AE120" s="1">
        <v>0.0</v>
      </c>
      <c r="AF120" s="3">
        <v>46156.0</v>
      </c>
      <c r="AG120" s="1" t="s">
        <v>55</v>
      </c>
      <c r="AH120" s="1" t="s">
        <v>56</v>
      </c>
      <c r="AI120" s="1" t="s">
        <v>56</v>
      </c>
      <c r="AJ120" s="1" t="s">
        <v>58</v>
      </c>
      <c r="AK120" s="1">
        <v>81623.0</v>
      </c>
      <c r="AL120" s="1" t="s">
        <v>59</v>
      </c>
      <c r="AM120" s="1" t="s">
        <v>60</v>
      </c>
      <c r="AN120" s="4" t="s">
        <v>508</v>
      </c>
      <c r="AO120" s="4" t="s">
        <v>509</v>
      </c>
      <c r="AP120" s="1" t="s">
        <v>510</v>
      </c>
      <c r="AR120" s="1">
        <v>39.42935</v>
      </c>
      <c r="AS120" s="1">
        <v>-107.1472</v>
      </c>
      <c r="AT120" s="5">
        <f t="shared" si="1"/>
        <v>41.81394958</v>
      </c>
      <c r="AU120" s="5">
        <f t="shared" si="2"/>
        <v>44185.20588</v>
      </c>
      <c r="AV120" s="5">
        <f t="shared" si="3"/>
        <v>1</v>
      </c>
      <c r="AW120" s="5">
        <f t="shared" si="4"/>
        <v>1</v>
      </c>
      <c r="AX120" s="5">
        <f t="shared" si="5"/>
        <v>44185.20588</v>
      </c>
    </row>
    <row r="121">
      <c r="A121" s="1" t="s">
        <v>511</v>
      </c>
      <c r="B121" s="1">
        <v>4.56349956E8</v>
      </c>
      <c r="D121" s="1">
        <v>0.0</v>
      </c>
      <c r="E121" s="1">
        <v>14066.0</v>
      </c>
      <c r="F121" s="1">
        <v>0.0</v>
      </c>
      <c r="G121" s="1">
        <v>0.0</v>
      </c>
      <c r="H121" s="1">
        <v>319.0</v>
      </c>
      <c r="I121" s="1">
        <v>3.0</v>
      </c>
      <c r="J121" s="1">
        <v>3.0</v>
      </c>
      <c r="K121" s="1">
        <v>6.0</v>
      </c>
      <c r="L121" s="1" t="b">
        <v>0</v>
      </c>
      <c r="M121" s="1" t="b">
        <v>0</v>
      </c>
      <c r="N121" s="1" t="b">
        <v>1</v>
      </c>
      <c r="O121" s="1" t="b">
        <v>1</v>
      </c>
      <c r="P121" s="1" t="b">
        <v>1</v>
      </c>
      <c r="Q121" s="1" t="b">
        <v>1</v>
      </c>
      <c r="R121" s="1" t="b">
        <v>1</v>
      </c>
      <c r="S121" s="1" t="s">
        <v>51</v>
      </c>
      <c r="T121" s="1" t="s">
        <v>65</v>
      </c>
      <c r="U121" s="1" t="s">
        <v>53</v>
      </c>
      <c r="V121" s="1">
        <v>4.95</v>
      </c>
      <c r="W121" s="1">
        <v>18.0</v>
      </c>
      <c r="X121" s="1">
        <v>30.0</v>
      </c>
      <c r="Y121" s="1">
        <v>1.0</v>
      </c>
      <c r="Z121" s="1" t="s">
        <v>54</v>
      </c>
      <c r="AA121" s="1" t="b">
        <v>0</v>
      </c>
      <c r="AB121" s="1">
        <v>250.0</v>
      </c>
      <c r="AC121" s="1" t="b">
        <v>0</v>
      </c>
      <c r="AD121" s="1">
        <v>0.0</v>
      </c>
      <c r="AE121" s="1">
        <v>0.0</v>
      </c>
      <c r="AF121" s="3">
        <v>46084.0</v>
      </c>
      <c r="AG121" s="1" t="s">
        <v>55</v>
      </c>
      <c r="AH121" s="1" t="s">
        <v>56</v>
      </c>
      <c r="AI121" s="1" t="s">
        <v>56</v>
      </c>
      <c r="AJ121" s="1" t="s">
        <v>58</v>
      </c>
      <c r="AK121" s="1">
        <v>81623.0</v>
      </c>
      <c r="AL121" s="1" t="s">
        <v>59</v>
      </c>
      <c r="AM121" s="1" t="s">
        <v>60</v>
      </c>
      <c r="AN121" s="4" t="s">
        <v>512</v>
      </c>
      <c r="AO121" s="4" t="s">
        <v>513</v>
      </c>
      <c r="AP121" s="1" t="s">
        <v>514</v>
      </c>
      <c r="AQ121" s="1">
        <v>3567557.0</v>
      </c>
      <c r="AR121" s="1">
        <v>39.38346</v>
      </c>
      <c r="AS121" s="1">
        <v>-107.21223</v>
      </c>
      <c r="AT121" s="5">
        <f t="shared" si="1"/>
        <v>41.81394958</v>
      </c>
      <c r="AU121" s="5">
        <f t="shared" si="2"/>
        <v>44185.20588</v>
      </c>
      <c r="AV121" s="5">
        <f t="shared" si="3"/>
        <v>1</v>
      </c>
      <c r="AW121" s="5">
        <f t="shared" si="4"/>
        <v>1</v>
      </c>
      <c r="AX121" s="5">
        <f t="shared" si="5"/>
        <v>44185.20588</v>
      </c>
    </row>
    <row r="122">
      <c r="A122" s="1" t="s">
        <v>515</v>
      </c>
      <c r="D122" s="1">
        <v>0.0</v>
      </c>
      <c r="E122" s="1">
        <v>133.0</v>
      </c>
      <c r="F122" s="1">
        <v>0.0</v>
      </c>
      <c r="G122" s="1">
        <v>0.0</v>
      </c>
      <c r="H122" s="1">
        <v>22.0</v>
      </c>
      <c r="I122" s="1">
        <v>3.0</v>
      </c>
      <c r="J122" s="1">
        <v>2.0</v>
      </c>
      <c r="K122" s="1">
        <v>6.0</v>
      </c>
      <c r="L122" s="1" t="b">
        <v>0</v>
      </c>
      <c r="M122" s="1" t="b">
        <v>0</v>
      </c>
      <c r="N122" s="1" t="b">
        <v>0</v>
      </c>
      <c r="O122" s="1" t="b">
        <v>1</v>
      </c>
      <c r="P122" s="1" t="b">
        <v>1</v>
      </c>
      <c r="Q122" s="1" t="b">
        <v>0</v>
      </c>
      <c r="R122" s="1" t="b">
        <v>0</v>
      </c>
      <c r="S122" s="1" t="s">
        <v>51</v>
      </c>
      <c r="T122" s="1" t="s">
        <v>65</v>
      </c>
      <c r="U122" s="1" t="s">
        <v>53</v>
      </c>
      <c r="V122" s="1">
        <v>5.0</v>
      </c>
      <c r="W122" s="1">
        <v>14.0</v>
      </c>
      <c r="X122" s="1">
        <v>3.0</v>
      </c>
      <c r="Y122" s="1">
        <v>1.0</v>
      </c>
      <c r="Z122" s="1" t="s">
        <v>54</v>
      </c>
      <c r="AA122" s="1" t="b">
        <v>0</v>
      </c>
      <c r="AB122" s="1">
        <v>0.0</v>
      </c>
      <c r="AC122" s="1" t="b">
        <v>0</v>
      </c>
      <c r="AD122" s="1">
        <v>0.0</v>
      </c>
      <c r="AE122" s="1">
        <v>0.0</v>
      </c>
      <c r="AF122" s="3">
        <v>46155.0</v>
      </c>
      <c r="AG122" s="1" t="s">
        <v>55</v>
      </c>
      <c r="AH122" s="1" t="s">
        <v>56</v>
      </c>
      <c r="AI122" s="1" t="s">
        <v>56</v>
      </c>
      <c r="AJ122" s="1" t="s">
        <v>58</v>
      </c>
      <c r="AK122" s="1">
        <v>81623.0</v>
      </c>
      <c r="AL122" s="1" t="s">
        <v>59</v>
      </c>
      <c r="AM122" s="1" t="s">
        <v>60</v>
      </c>
      <c r="AN122" s="4" t="s">
        <v>516</v>
      </c>
      <c r="AO122" s="4" t="s">
        <v>517</v>
      </c>
      <c r="AQ122" s="1">
        <v>2327548.0</v>
      </c>
      <c r="AR122" s="1">
        <v>39.45446</v>
      </c>
      <c r="AS122" s="1">
        <v>-107.215961</v>
      </c>
      <c r="AT122" s="5">
        <f t="shared" si="1"/>
        <v>41.81394958</v>
      </c>
      <c r="AU122" s="5">
        <f t="shared" si="2"/>
        <v>44185.20588</v>
      </c>
      <c r="AV122" s="5">
        <f t="shared" si="3"/>
        <v>1</v>
      </c>
      <c r="AW122" s="5">
        <f t="shared" si="4"/>
        <v>1</v>
      </c>
      <c r="AX122" s="5">
        <f t="shared" si="5"/>
        <v>44185.20588</v>
      </c>
    </row>
    <row r="123">
      <c r="A123" s="1" t="s">
        <v>518</v>
      </c>
      <c r="D123" s="1">
        <v>0.0</v>
      </c>
      <c r="E123" s="1">
        <v>76.0</v>
      </c>
      <c r="F123" s="1">
        <v>0.0</v>
      </c>
      <c r="G123" s="1">
        <v>0.0</v>
      </c>
      <c r="H123" s="1">
        <v>1.0</v>
      </c>
      <c r="I123" s="1">
        <v>2.0</v>
      </c>
      <c r="J123" s="1">
        <v>2.0</v>
      </c>
      <c r="K123" s="1">
        <v>4.0</v>
      </c>
      <c r="L123" s="1" t="b">
        <v>1</v>
      </c>
      <c r="M123" s="1" t="b">
        <v>0</v>
      </c>
      <c r="N123" s="1" t="b">
        <v>1</v>
      </c>
      <c r="O123" s="1" t="b">
        <v>1</v>
      </c>
      <c r="P123" s="1" t="b">
        <v>1</v>
      </c>
      <c r="Q123" s="1" t="b">
        <v>1</v>
      </c>
      <c r="R123" s="1" t="b">
        <v>0</v>
      </c>
      <c r="S123" s="1" t="s">
        <v>51</v>
      </c>
      <c r="T123" s="1" t="s">
        <v>65</v>
      </c>
      <c r="U123" s="1" t="s">
        <v>53</v>
      </c>
      <c r="V123" s="1">
        <v>5.0</v>
      </c>
      <c r="W123" s="1">
        <v>4.0</v>
      </c>
      <c r="X123" s="1">
        <v>3.0</v>
      </c>
      <c r="Y123" s="1">
        <v>1.0</v>
      </c>
      <c r="Z123" s="1" t="s">
        <v>54</v>
      </c>
      <c r="AA123" s="1" t="b">
        <v>0</v>
      </c>
      <c r="AB123" s="1">
        <v>350.0</v>
      </c>
      <c r="AC123" s="1" t="b">
        <v>1</v>
      </c>
      <c r="AD123" s="1">
        <v>0.0</v>
      </c>
      <c r="AE123" s="1">
        <v>0.0</v>
      </c>
      <c r="AF123" s="3">
        <v>45774.0</v>
      </c>
      <c r="AG123" s="1" t="s">
        <v>55</v>
      </c>
      <c r="AH123" s="1" t="s">
        <v>56</v>
      </c>
      <c r="AI123" s="1" t="s">
        <v>72</v>
      </c>
      <c r="AJ123" s="1" t="s">
        <v>58</v>
      </c>
      <c r="AK123" s="1">
        <v>81621.0</v>
      </c>
      <c r="AL123" s="1" t="s">
        <v>59</v>
      </c>
      <c r="AM123" s="1" t="s">
        <v>60</v>
      </c>
      <c r="AN123" s="4" t="s">
        <v>519</v>
      </c>
      <c r="AO123" s="4" t="s">
        <v>520</v>
      </c>
      <c r="AQ123" s="1">
        <v>3691633.0</v>
      </c>
      <c r="AR123" s="1">
        <v>39.362472</v>
      </c>
      <c r="AS123" s="1">
        <v>-107.038709</v>
      </c>
      <c r="AT123" s="5">
        <f t="shared" si="1"/>
        <v>41.81394958</v>
      </c>
      <c r="AU123" s="5">
        <f t="shared" si="2"/>
        <v>44185.20588</v>
      </c>
      <c r="AV123" s="5">
        <f t="shared" si="3"/>
        <v>1</v>
      </c>
      <c r="AW123" s="5">
        <f t="shared" si="4"/>
        <v>1</v>
      </c>
      <c r="AX123" s="5">
        <f t="shared" si="5"/>
        <v>44185.20588</v>
      </c>
    </row>
    <row r="124">
      <c r="A124" s="1" t="s">
        <v>521</v>
      </c>
      <c r="D124" s="1">
        <v>0.0</v>
      </c>
      <c r="E124" s="1">
        <v>11778.0</v>
      </c>
      <c r="F124" s="1">
        <v>0.0</v>
      </c>
      <c r="G124" s="1">
        <v>0.0</v>
      </c>
      <c r="H124" s="1">
        <v>60.0</v>
      </c>
      <c r="I124" s="1">
        <v>4.0</v>
      </c>
      <c r="J124" s="1">
        <v>5.0</v>
      </c>
      <c r="K124" s="1">
        <v>8.0</v>
      </c>
      <c r="L124" s="1" t="b">
        <v>1</v>
      </c>
      <c r="M124" s="1" t="b">
        <v>0</v>
      </c>
      <c r="N124" s="1" t="b">
        <v>0</v>
      </c>
      <c r="O124" s="1" t="b">
        <v>1</v>
      </c>
      <c r="P124" s="1" t="b">
        <v>1</v>
      </c>
      <c r="Q124" s="1" t="b">
        <v>0</v>
      </c>
      <c r="R124" s="1" t="b">
        <v>0</v>
      </c>
      <c r="S124" s="1" t="s">
        <v>51</v>
      </c>
      <c r="T124" s="1" t="s">
        <v>65</v>
      </c>
      <c r="U124" s="1" t="s">
        <v>53</v>
      </c>
      <c r="V124" s="1">
        <v>5.0</v>
      </c>
      <c r="W124" s="1">
        <v>1.0</v>
      </c>
      <c r="X124" s="1">
        <v>7.0</v>
      </c>
      <c r="Y124" s="1">
        <v>1.0</v>
      </c>
      <c r="Z124" s="1" t="s">
        <v>54</v>
      </c>
      <c r="AA124" s="1" t="b">
        <v>0</v>
      </c>
      <c r="AB124" s="1">
        <v>500.0</v>
      </c>
      <c r="AC124" s="1" t="b">
        <v>1</v>
      </c>
      <c r="AD124" s="1">
        <v>0.0</v>
      </c>
      <c r="AE124" s="1">
        <v>0.0</v>
      </c>
      <c r="AF124" s="3">
        <v>46159.0</v>
      </c>
      <c r="AG124" s="1" t="s">
        <v>55</v>
      </c>
      <c r="AH124" s="1" t="s">
        <v>56</v>
      </c>
      <c r="AI124" s="1" t="s">
        <v>56</v>
      </c>
      <c r="AJ124" s="1" t="s">
        <v>58</v>
      </c>
      <c r="AK124" s="1">
        <v>81623.0</v>
      </c>
      <c r="AL124" s="1" t="s">
        <v>59</v>
      </c>
      <c r="AM124" s="1" t="s">
        <v>60</v>
      </c>
      <c r="AN124" s="4" t="s">
        <v>522</v>
      </c>
      <c r="AO124" s="4" t="s">
        <v>523</v>
      </c>
      <c r="AQ124" s="1">
        <v>4129877.0</v>
      </c>
      <c r="AR124" s="1">
        <v>39.42366</v>
      </c>
      <c r="AS124" s="1">
        <v>-107.24542</v>
      </c>
      <c r="AT124" s="5">
        <f t="shared" si="1"/>
        <v>41.81394958</v>
      </c>
      <c r="AU124" s="5">
        <f t="shared" si="2"/>
        <v>44185.20588</v>
      </c>
      <c r="AV124" s="5">
        <f t="shared" si="3"/>
        <v>1</v>
      </c>
      <c r="AW124" s="5">
        <f t="shared" si="4"/>
        <v>1</v>
      </c>
      <c r="AX124" s="5">
        <f t="shared" si="5"/>
        <v>44185.20588</v>
      </c>
    </row>
    <row r="125">
      <c r="A125" s="1" t="s">
        <v>524</v>
      </c>
      <c r="B125" s="1" t="s">
        <v>525</v>
      </c>
      <c r="D125" s="1">
        <v>170601.0</v>
      </c>
      <c r="E125" s="1">
        <v>185563.0</v>
      </c>
      <c r="F125" s="1">
        <v>1470.7</v>
      </c>
      <c r="G125" s="1">
        <v>40.42</v>
      </c>
      <c r="H125" s="1">
        <v>334.0</v>
      </c>
      <c r="I125" s="1">
        <v>6.0</v>
      </c>
      <c r="J125" s="1">
        <v>4.0</v>
      </c>
      <c r="K125" s="1">
        <v>16.0</v>
      </c>
      <c r="L125" s="1" t="b">
        <v>1</v>
      </c>
      <c r="M125" s="1" t="b">
        <v>0</v>
      </c>
      <c r="N125" s="1" t="b">
        <v>1</v>
      </c>
      <c r="O125" s="1" t="b">
        <v>1</v>
      </c>
      <c r="P125" s="1" t="b">
        <v>1</v>
      </c>
      <c r="Q125" s="1" t="b">
        <v>1</v>
      </c>
      <c r="R125" s="1" t="b">
        <v>0</v>
      </c>
      <c r="S125" s="1" t="s">
        <v>51</v>
      </c>
      <c r="T125" s="1" t="s">
        <v>65</v>
      </c>
      <c r="U125" s="1" t="s">
        <v>53</v>
      </c>
      <c r="V125" s="1">
        <v>4.75</v>
      </c>
      <c r="W125" s="1">
        <v>58.0</v>
      </c>
      <c r="X125" s="1">
        <v>3.0</v>
      </c>
      <c r="Y125" s="2">
        <v>46193.0</v>
      </c>
      <c r="Z125" s="1" t="s">
        <v>54</v>
      </c>
      <c r="AA125" s="1" t="b">
        <v>1</v>
      </c>
      <c r="AB125" s="1">
        <v>660.0</v>
      </c>
      <c r="AC125" s="1" t="b">
        <v>1</v>
      </c>
      <c r="AD125" s="1">
        <v>116.0</v>
      </c>
      <c r="AE125" s="1">
        <v>23.0</v>
      </c>
      <c r="AF125" s="3">
        <v>46158.0</v>
      </c>
      <c r="AG125" s="1" t="s">
        <v>55</v>
      </c>
      <c r="AH125" s="1" t="s">
        <v>72</v>
      </c>
      <c r="AI125" s="1" t="s">
        <v>72</v>
      </c>
      <c r="AJ125" s="1" t="s">
        <v>58</v>
      </c>
      <c r="AK125" s="1">
        <v>81621.0</v>
      </c>
      <c r="AL125" s="1" t="s">
        <v>59</v>
      </c>
      <c r="AM125" s="1" t="s">
        <v>60</v>
      </c>
      <c r="AN125" s="4" t="s">
        <v>526</v>
      </c>
      <c r="AO125" s="4" t="s">
        <v>527</v>
      </c>
      <c r="AP125" s="1">
        <v>5.3775012E7</v>
      </c>
      <c r="AQ125" s="1" t="s">
        <v>528</v>
      </c>
      <c r="AR125" s="1">
        <v>39.3874</v>
      </c>
      <c r="AS125" s="1">
        <v>-107.0858</v>
      </c>
      <c r="AT125" s="5">
        <f t="shared" si="1"/>
        <v>41.81394958</v>
      </c>
      <c r="AU125" s="5">
        <f t="shared" si="2"/>
        <v>44185.20588</v>
      </c>
      <c r="AV125" s="5">
        <f t="shared" si="3"/>
        <v>0.0333369508</v>
      </c>
      <c r="AW125" s="5">
        <f t="shared" si="4"/>
        <v>-2.861043455</v>
      </c>
      <c r="AX125" s="5">
        <f t="shared" si="5"/>
        <v>-126415.7941</v>
      </c>
    </row>
    <row r="126">
      <c r="A126" s="1" t="s">
        <v>529</v>
      </c>
      <c r="B126" s="1">
        <v>6055758.0</v>
      </c>
      <c r="D126" s="1">
        <v>164279.0</v>
      </c>
      <c r="E126" s="1">
        <v>200916.0</v>
      </c>
      <c r="F126" s="1">
        <v>1095.19</v>
      </c>
      <c r="G126" s="1">
        <v>48.08</v>
      </c>
      <c r="H126" s="1">
        <v>314.0</v>
      </c>
      <c r="I126" s="1">
        <v>4.0</v>
      </c>
      <c r="J126" s="1">
        <v>4.0</v>
      </c>
      <c r="K126" s="1">
        <v>10.0</v>
      </c>
      <c r="L126" s="1" t="b">
        <v>1</v>
      </c>
      <c r="M126" s="1" t="b">
        <v>1</v>
      </c>
      <c r="N126" s="1" t="b">
        <v>1</v>
      </c>
      <c r="O126" s="1" t="b">
        <v>1</v>
      </c>
      <c r="P126" s="1" t="b">
        <v>1</v>
      </c>
      <c r="Q126" s="1" t="b">
        <v>0</v>
      </c>
      <c r="R126" s="1" t="b">
        <v>0</v>
      </c>
      <c r="S126" s="1" t="s">
        <v>51</v>
      </c>
      <c r="T126" s="1" t="s">
        <v>65</v>
      </c>
      <c r="U126" s="1" t="s">
        <v>53</v>
      </c>
      <c r="V126" s="1">
        <v>5.0</v>
      </c>
      <c r="W126" s="1">
        <v>67.0</v>
      </c>
      <c r="X126" s="1">
        <v>3.0</v>
      </c>
      <c r="Y126" s="2">
        <v>46193.0</v>
      </c>
      <c r="Z126" s="1" t="s">
        <v>54</v>
      </c>
      <c r="AA126" s="1" t="b">
        <v>1</v>
      </c>
      <c r="AB126" s="1">
        <v>0.0</v>
      </c>
      <c r="AC126" s="1" t="b">
        <v>0</v>
      </c>
      <c r="AD126" s="1">
        <v>150.0</v>
      </c>
      <c r="AE126" s="1">
        <v>35.0</v>
      </c>
      <c r="AF126" s="3">
        <v>46153.0</v>
      </c>
      <c r="AG126" s="1" t="s">
        <v>55</v>
      </c>
      <c r="AH126" s="1" t="s">
        <v>55</v>
      </c>
      <c r="AI126" s="1" t="s">
        <v>55</v>
      </c>
      <c r="AJ126" s="1" t="s">
        <v>58</v>
      </c>
      <c r="AK126" s="1">
        <v>81601.0</v>
      </c>
      <c r="AL126" s="1" t="s">
        <v>59</v>
      </c>
      <c r="AM126" s="1" t="s">
        <v>60</v>
      </c>
      <c r="AN126" s="4" t="s">
        <v>530</v>
      </c>
      <c r="AO126" s="4" t="s">
        <v>531</v>
      </c>
      <c r="AP126" s="1">
        <v>5.1341759E7</v>
      </c>
      <c r="AQ126" s="1">
        <v>2545174.0</v>
      </c>
      <c r="AR126" s="1">
        <v>39.4711</v>
      </c>
      <c r="AS126" s="1">
        <v>-107.2749</v>
      </c>
      <c r="AT126" s="5">
        <f t="shared" si="1"/>
        <v>41.81394958</v>
      </c>
      <c r="AU126" s="5">
        <f t="shared" si="2"/>
        <v>44185.20588</v>
      </c>
      <c r="AV126" s="5">
        <f t="shared" si="3"/>
        <v>-0.1498555024</v>
      </c>
      <c r="AW126" s="5">
        <f t="shared" si="4"/>
        <v>-2.717963891</v>
      </c>
      <c r="AX126" s="5">
        <f t="shared" si="5"/>
        <v>-120093.7941</v>
      </c>
    </row>
    <row r="127">
      <c r="A127" s="1" t="s">
        <v>532</v>
      </c>
      <c r="B127" s="1">
        <v>4.89668528E8</v>
      </c>
      <c r="D127" s="1">
        <v>160644.0</v>
      </c>
      <c r="E127" s="1">
        <v>177061.0</v>
      </c>
      <c r="F127" s="1">
        <v>991.63</v>
      </c>
      <c r="G127" s="1">
        <v>48.65</v>
      </c>
      <c r="H127" s="1">
        <v>333.0</v>
      </c>
      <c r="I127" s="1">
        <v>4.0</v>
      </c>
      <c r="J127" s="1">
        <v>4.0</v>
      </c>
      <c r="K127" s="1">
        <v>8.0</v>
      </c>
      <c r="L127" s="1" t="b">
        <v>0</v>
      </c>
      <c r="M127" s="1" t="b">
        <v>0</v>
      </c>
      <c r="N127" s="1" t="b">
        <v>0</v>
      </c>
      <c r="O127" s="1" t="b">
        <v>1</v>
      </c>
      <c r="P127" s="1" t="b">
        <v>1</v>
      </c>
      <c r="Q127" s="1" t="b">
        <v>1</v>
      </c>
      <c r="R127" s="1" t="b">
        <v>0</v>
      </c>
      <c r="S127" s="1" t="s">
        <v>51</v>
      </c>
      <c r="T127" s="1" t="s">
        <v>65</v>
      </c>
      <c r="U127" s="1" t="s">
        <v>53</v>
      </c>
      <c r="V127" s="1">
        <v>4.8</v>
      </c>
      <c r="W127" s="1">
        <v>97.0</v>
      </c>
      <c r="X127" s="1">
        <v>2.0</v>
      </c>
      <c r="Y127" s="2">
        <v>46058.0</v>
      </c>
      <c r="Z127" s="1" t="s">
        <v>54</v>
      </c>
      <c r="AA127" s="1" t="b">
        <v>1</v>
      </c>
      <c r="AB127" s="1">
        <v>420.0</v>
      </c>
      <c r="AC127" s="1" t="b">
        <v>0</v>
      </c>
      <c r="AD127" s="1">
        <v>162.0</v>
      </c>
      <c r="AE127" s="1">
        <v>53.0</v>
      </c>
      <c r="AF127" s="3">
        <v>46153.0</v>
      </c>
      <c r="AG127" s="1" t="s">
        <v>55</v>
      </c>
      <c r="AH127" s="1" t="s">
        <v>72</v>
      </c>
      <c r="AI127" s="1" t="s">
        <v>72</v>
      </c>
      <c r="AJ127" s="1" t="s">
        <v>58</v>
      </c>
      <c r="AK127" s="1">
        <v>81621.0</v>
      </c>
      <c r="AL127" s="1" t="s">
        <v>59</v>
      </c>
      <c r="AM127" s="1" t="s">
        <v>60</v>
      </c>
      <c r="AN127" s="4" t="s">
        <v>533</v>
      </c>
      <c r="AO127" s="4" t="s">
        <v>534</v>
      </c>
      <c r="AP127" s="1" t="s">
        <v>535</v>
      </c>
      <c r="AQ127" s="1">
        <v>3509534.0</v>
      </c>
      <c r="AR127" s="1">
        <v>39.3859</v>
      </c>
      <c r="AS127" s="1">
        <v>-106.8179</v>
      </c>
      <c r="AT127" s="5">
        <f t="shared" si="1"/>
        <v>41.81394958</v>
      </c>
      <c r="AU127" s="5">
        <f t="shared" si="2"/>
        <v>44185.20588</v>
      </c>
      <c r="AV127" s="5">
        <f t="shared" si="3"/>
        <v>-0.1634873168</v>
      </c>
      <c r="AW127" s="5">
        <f t="shared" si="4"/>
        <v>-2.635696537</v>
      </c>
      <c r="AX127" s="5">
        <f t="shared" si="5"/>
        <v>-116458.7941</v>
      </c>
    </row>
    <row r="128">
      <c r="A128" s="1" t="s">
        <v>536</v>
      </c>
      <c r="B128" s="1">
        <v>1.50154112E8</v>
      </c>
      <c r="D128" s="1">
        <v>159903.0</v>
      </c>
      <c r="E128" s="1">
        <v>170307.0</v>
      </c>
      <c r="F128" s="1">
        <v>565.03</v>
      </c>
      <c r="G128" s="1">
        <v>82.27</v>
      </c>
      <c r="H128" s="1">
        <v>344.0</v>
      </c>
      <c r="I128" s="1">
        <v>3.0</v>
      </c>
      <c r="J128" s="1">
        <v>2.0</v>
      </c>
      <c r="K128" s="1">
        <v>8.0</v>
      </c>
      <c r="L128" s="1" t="b">
        <v>1</v>
      </c>
      <c r="M128" s="1" t="b">
        <v>0</v>
      </c>
      <c r="N128" s="1" t="b">
        <v>1</v>
      </c>
      <c r="O128" s="1" t="b">
        <v>1</v>
      </c>
      <c r="P128" s="1" t="b">
        <v>1</v>
      </c>
      <c r="Q128" s="1" t="b">
        <v>1</v>
      </c>
      <c r="R128" s="1" t="b">
        <v>0</v>
      </c>
      <c r="S128" s="1" t="s">
        <v>51</v>
      </c>
      <c r="T128" s="1" t="s">
        <v>65</v>
      </c>
      <c r="U128" s="1" t="s">
        <v>53</v>
      </c>
      <c r="V128" s="1">
        <v>5.0</v>
      </c>
      <c r="W128" s="1">
        <v>445.0</v>
      </c>
      <c r="X128" s="1">
        <v>4.0</v>
      </c>
      <c r="Y128" s="2">
        <v>46058.0</v>
      </c>
      <c r="Z128" s="1" t="s">
        <v>54</v>
      </c>
      <c r="AA128" s="1" t="b">
        <v>1</v>
      </c>
      <c r="AB128" s="1">
        <v>161.0</v>
      </c>
      <c r="AC128" s="1" t="b">
        <v>1</v>
      </c>
      <c r="AD128" s="1">
        <v>283.0</v>
      </c>
      <c r="AE128" s="1">
        <v>95.0</v>
      </c>
      <c r="AF128" s="3">
        <v>46159.0</v>
      </c>
      <c r="AG128" s="1" t="s">
        <v>55</v>
      </c>
      <c r="AH128" s="1" t="s">
        <v>55</v>
      </c>
      <c r="AI128" s="1" t="s">
        <v>55</v>
      </c>
      <c r="AJ128" s="1" t="s">
        <v>58</v>
      </c>
      <c r="AK128" s="1">
        <v>81601.0</v>
      </c>
      <c r="AL128" s="1" t="s">
        <v>59</v>
      </c>
      <c r="AM128" s="1" t="s">
        <v>60</v>
      </c>
      <c r="AN128" s="4" t="s">
        <v>537</v>
      </c>
      <c r="AO128" s="4" t="s">
        <v>538</v>
      </c>
      <c r="AP128" s="1">
        <v>4.7133861E7</v>
      </c>
      <c r="AQ128" s="1">
        <v>3373177.0</v>
      </c>
      <c r="AR128" s="1">
        <v>39.55085</v>
      </c>
      <c r="AS128" s="1">
        <v>-107.32272</v>
      </c>
      <c r="AT128" s="5">
        <f t="shared" si="1"/>
        <v>41.81394958</v>
      </c>
      <c r="AU128" s="5">
        <f t="shared" si="2"/>
        <v>44185.20588</v>
      </c>
      <c r="AV128" s="5">
        <f t="shared" si="3"/>
        <v>-0.9675252117</v>
      </c>
      <c r="AW128" s="5">
        <f t="shared" si="4"/>
        <v>-2.618926218</v>
      </c>
      <c r="AX128" s="5">
        <f t="shared" si="5"/>
        <v>-115717.7941</v>
      </c>
    </row>
    <row r="129">
      <c r="A129" s="1" t="s">
        <v>539</v>
      </c>
      <c r="B129" s="1">
        <v>1.90494013E8</v>
      </c>
      <c r="D129" s="1">
        <v>154593.0</v>
      </c>
      <c r="E129" s="1">
        <v>162205.0</v>
      </c>
      <c r="F129" s="1">
        <v>471.32</v>
      </c>
      <c r="G129" s="1">
        <v>94.25</v>
      </c>
      <c r="H129" s="1">
        <v>348.0</v>
      </c>
      <c r="I129" s="1">
        <v>2.0</v>
      </c>
      <c r="J129" s="1">
        <v>2.0</v>
      </c>
      <c r="K129" s="1">
        <v>4.0</v>
      </c>
      <c r="L129" s="1" t="b">
        <v>1</v>
      </c>
      <c r="M129" s="1" t="b">
        <v>0</v>
      </c>
      <c r="N129" s="1" t="b">
        <v>1</v>
      </c>
      <c r="O129" s="1" t="b">
        <v>1</v>
      </c>
      <c r="P129" s="1" t="b">
        <v>1</v>
      </c>
      <c r="Q129" s="1" t="b">
        <v>0</v>
      </c>
      <c r="R129" s="1" t="b">
        <v>0</v>
      </c>
      <c r="S129" s="1" t="s">
        <v>51</v>
      </c>
      <c r="T129" s="1" t="s">
        <v>137</v>
      </c>
      <c r="U129" s="1" t="s">
        <v>53</v>
      </c>
      <c r="V129" s="1">
        <v>5.0</v>
      </c>
      <c r="W129" s="1">
        <v>143.0</v>
      </c>
      <c r="X129" s="1">
        <v>3.0</v>
      </c>
      <c r="Y129" s="2">
        <v>46193.0</v>
      </c>
      <c r="Z129" s="1" t="s">
        <v>54</v>
      </c>
      <c r="AA129" s="1" t="b">
        <v>1</v>
      </c>
      <c r="AB129" s="1">
        <v>186.0</v>
      </c>
      <c r="AC129" s="1" t="b">
        <v>0</v>
      </c>
      <c r="AD129" s="1">
        <v>328.0</v>
      </c>
      <c r="AE129" s="1">
        <v>117.0</v>
      </c>
      <c r="AF129" s="3">
        <v>46159.0</v>
      </c>
      <c r="AG129" s="1" t="s">
        <v>55</v>
      </c>
      <c r="AH129" s="1" t="s">
        <v>55</v>
      </c>
      <c r="AI129" s="1" t="s">
        <v>55</v>
      </c>
      <c r="AJ129" s="1" t="s">
        <v>58</v>
      </c>
      <c r="AK129" s="1">
        <v>81601.0</v>
      </c>
      <c r="AL129" s="1" t="s">
        <v>59</v>
      </c>
      <c r="AM129" s="1" t="s">
        <v>60</v>
      </c>
      <c r="AN129" s="4" t="s">
        <v>540</v>
      </c>
      <c r="AO129" s="4" t="s">
        <v>541</v>
      </c>
      <c r="AP129" s="1" t="s">
        <v>542</v>
      </c>
      <c r="AQ129" s="1">
        <v>4103633.0</v>
      </c>
      <c r="AR129" s="1">
        <v>39.55989</v>
      </c>
      <c r="AS129" s="1">
        <v>-107.29508</v>
      </c>
      <c r="AT129" s="5">
        <f t="shared" si="1"/>
        <v>41.81394958</v>
      </c>
      <c r="AU129" s="5">
        <f t="shared" si="2"/>
        <v>44185.20588</v>
      </c>
      <c r="AV129" s="5">
        <f t="shared" si="3"/>
        <v>-1.254032469</v>
      </c>
      <c r="AW129" s="5">
        <f t="shared" si="4"/>
        <v>-2.498750247</v>
      </c>
      <c r="AX129" s="5">
        <f t="shared" si="5"/>
        <v>-110407.7941</v>
      </c>
    </row>
    <row r="130">
      <c r="A130" s="1" t="s">
        <v>543</v>
      </c>
      <c r="B130" s="1">
        <v>2.2023341E7</v>
      </c>
      <c r="D130" s="1">
        <v>139476.0</v>
      </c>
      <c r="E130" s="1">
        <v>160806.0</v>
      </c>
      <c r="F130" s="1">
        <v>697.38</v>
      </c>
      <c r="G130" s="1">
        <v>64.52</v>
      </c>
      <c r="H130" s="1">
        <v>310.0</v>
      </c>
      <c r="I130" s="1">
        <v>3.0</v>
      </c>
      <c r="J130" s="1">
        <v>2.0</v>
      </c>
      <c r="K130" s="1">
        <v>10.0</v>
      </c>
      <c r="L130" s="1" t="b">
        <v>1</v>
      </c>
      <c r="M130" s="1" t="b">
        <v>0</v>
      </c>
      <c r="N130" s="1" t="b">
        <v>0</v>
      </c>
      <c r="O130" s="1" t="b">
        <v>1</v>
      </c>
      <c r="P130" s="1" t="b">
        <v>1</v>
      </c>
      <c r="Q130" s="1" t="b">
        <v>1</v>
      </c>
      <c r="R130" s="1" t="b">
        <v>0</v>
      </c>
      <c r="S130" s="1" t="s">
        <v>51</v>
      </c>
      <c r="T130" s="1" t="s">
        <v>362</v>
      </c>
      <c r="U130" s="1" t="s">
        <v>53</v>
      </c>
      <c r="V130" s="1">
        <v>4.7</v>
      </c>
      <c r="W130" s="1">
        <v>50.0</v>
      </c>
      <c r="X130" s="1">
        <v>3.0</v>
      </c>
      <c r="Y130" s="2">
        <v>46193.0</v>
      </c>
      <c r="Z130" s="1" t="s">
        <v>54</v>
      </c>
      <c r="AA130" s="1" t="b">
        <v>0</v>
      </c>
      <c r="AB130" s="1">
        <v>194.0</v>
      </c>
      <c r="AC130" s="1" t="b">
        <v>1</v>
      </c>
      <c r="AD130" s="1">
        <v>200.0</v>
      </c>
      <c r="AE130" s="1">
        <v>65.0</v>
      </c>
      <c r="AF130" s="3">
        <v>46158.0</v>
      </c>
      <c r="AG130" s="1" t="s">
        <v>55</v>
      </c>
      <c r="AH130" s="1" t="s">
        <v>72</v>
      </c>
      <c r="AI130" s="1" t="s">
        <v>72</v>
      </c>
      <c r="AJ130" s="1" t="s">
        <v>58</v>
      </c>
      <c r="AK130" s="1">
        <v>81621.0</v>
      </c>
      <c r="AL130" s="1" t="s">
        <v>59</v>
      </c>
      <c r="AM130" s="1" t="s">
        <v>60</v>
      </c>
      <c r="AN130" s="4" t="s">
        <v>544</v>
      </c>
      <c r="AO130" s="4" t="s">
        <v>545</v>
      </c>
      <c r="AP130" s="1" t="s">
        <v>546</v>
      </c>
      <c r="AR130" s="1">
        <v>39.36817</v>
      </c>
      <c r="AS130" s="1">
        <v>-107.06745</v>
      </c>
      <c r="AT130" s="5">
        <f t="shared" si="1"/>
        <v>41.81394958</v>
      </c>
      <c r="AU130" s="5">
        <f t="shared" si="2"/>
        <v>44185.20588</v>
      </c>
      <c r="AV130" s="5">
        <f t="shared" si="3"/>
        <v>-0.5430257282</v>
      </c>
      <c r="AW130" s="5">
        <f t="shared" si="4"/>
        <v>-2.156622159</v>
      </c>
      <c r="AX130" s="5">
        <f t="shared" si="5"/>
        <v>-95290.79412</v>
      </c>
    </row>
    <row r="131">
      <c r="A131" s="1" t="s">
        <v>547</v>
      </c>
      <c r="B131" s="1">
        <v>1.90494013E8</v>
      </c>
      <c r="D131" s="1">
        <v>133366.0</v>
      </c>
      <c r="E131" s="1">
        <v>155648.0</v>
      </c>
      <c r="F131" s="1">
        <v>495.78</v>
      </c>
      <c r="G131" s="1">
        <v>86.5</v>
      </c>
      <c r="H131" s="1">
        <v>311.0</v>
      </c>
      <c r="I131" s="1">
        <v>3.0</v>
      </c>
      <c r="J131" s="1">
        <v>2.0</v>
      </c>
      <c r="K131" s="1">
        <v>6.0</v>
      </c>
      <c r="L131" s="1" t="b">
        <v>0</v>
      </c>
      <c r="M131" s="1" t="b">
        <v>1</v>
      </c>
      <c r="N131" s="1" t="b">
        <v>1</v>
      </c>
      <c r="O131" s="1" t="b">
        <v>1</v>
      </c>
      <c r="P131" s="1" t="b">
        <v>1</v>
      </c>
      <c r="Q131" s="1" t="b">
        <v>1</v>
      </c>
      <c r="R131" s="1" t="b">
        <v>0</v>
      </c>
      <c r="S131" s="1" t="s">
        <v>51</v>
      </c>
      <c r="T131" s="1" t="s">
        <v>65</v>
      </c>
      <c r="U131" s="1" t="s">
        <v>53</v>
      </c>
      <c r="V131" s="1">
        <v>4.9</v>
      </c>
      <c r="W131" s="1">
        <v>239.0</v>
      </c>
      <c r="X131" s="1">
        <v>2.0</v>
      </c>
      <c r="Y131" s="2">
        <v>46193.0</v>
      </c>
      <c r="Z131" s="1" t="s">
        <v>54</v>
      </c>
      <c r="AA131" s="1" t="b">
        <v>1</v>
      </c>
      <c r="AB131" s="1">
        <v>178.0</v>
      </c>
      <c r="AC131" s="1" t="b">
        <v>0</v>
      </c>
      <c r="AD131" s="1">
        <v>269.0</v>
      </c>
      <c r="AE131" s="1">
        <v>85.0</v>
      </c>
      <c r="AF131" s="3">
        <v>46159.0</v>
      </c>
      <c r="AG131" s="1" t="s">
        <v>55</v>
      </c>
      <c r="AH131" s="1" t="s">
        <v>55</v>
      </c>
      <c r="AI131" s="1" t="s">
        <v>55</v>
      </c>
      <c r="AJ131" s="1" t="s">
        <v>58</v>
      </c>
      <c r="AK131" s="1">
        <v>81601.0</v>
      </c>
      <c r="AL131" s="1" t="s">
        <v>59</v>
      </c>
      <c r="AM131" s="1" t="s">
        <v>60</v>
      </c>
      <c r="AN131" s="4" t="s">
        <v>548</v>
      </c>
      <c r="AO131" s="4" t="s">
        <v>549</v>
      </c>
      <c r="AP131" s="1">
        <v>4.7979644E7</v>
      </c>
      <c r="AQ131" s="1">
        <v>2194032.0</v>
      </c>
      <c r="AR131" s="1">
        <v>39.538</v>
      </c>
      <c r="AS131" s="1">
        <v>-107.26645</v>
      </c>
      <c r="AT131" s="5">
        <f t="shared" si="1"/>
        <v>41.81394958</v>
      </c>
      <c r="AU131" s="5">
        <f t="shared" si="2"/>
        <v>44185.20588</v>
      </c>
      <c r="AV131" s="5">
        <f t="shared" si="3"/>
        <v>-1.068687624</v>
      </c>
      <c r="AW131" s="5">
        <f t="shared" si="4"/>
        <v>-2.018340581</v>
      </c>
      <c r="AX131" s="5">
        <f t="shared" si="5"/>
        <v>-89180.79412</v>
      </c>
    </row>
    <row r="132">
      <c r="A132" s="1" t="s">
        <v>550</v>
      </c>
      <c r="B132" s="1">
        <v>2.75333058E8</v>
      </c>
      <c r="D132" s="1">
        <v>131638.0</v>
      </c>
      <c r="E132" s="1">
        <v>132165.0</v>
      </c>
      <c r="F132" s="1">
        <v>1964.75</v>
      </c>
      <c r="G132" s="1">
        <v>39.88</v>
      </c>
      <c r="H132" s="1">
        <v>346.0</v>
      </c>
      <c r="I132" s="1">
        <v>9.0</v>
      </c>
      <c r="J132" s="1">
        <v>7.0</v>
      </c>
      <c r="K132" s="1">
        <v>16.0</v>
      </c>
      <c r="L132" s="1" t="b">
        <v>1</v>
      </c>
      <c r="M132" s="1" t="b">
        <v>0</v>
      </c>
      <c r="N132" s="1" t="b">
        <v>1</v>
      </c>
      <c r="O132" s="1" t="b">
        <v>1</v>
      </c>
      <c r="P132" s="1" t="b">
        <v>1</v>
      </c>
      <c r="Q132" s="1" t="b">
        <v>1</v>
      </c>
      <c r="R132" s="1" t="b">
        <v>0</v>
      </c>
      <c r="S132" s="1" t="s">
        <v>51</v>
      </c>
      <c r="T132" s="1" t="s">
        <v>65</v>
      </c>
      <c r="U132" s="1" t="s">
        <v>53</v>
      </c>
      <c r="V132" s="1">
        <v>0.0</v>
      </c>
      <c r="W132" s="1">
        <v>0.0</v>
      </c>
      <c r="X132" s="1">
        <v>4.0</v>
      </c>
      <c r="Y132" s="2">
        <v>46058.0</v>
      </c>
      <c r="Z132" s="1" t="s">
        <v>54</v>
      </c>
      <c r="AA132" s="1" t="b">
        <v>1</v>
      </c>
      <c r="AB132" s="1">
        <v>1000.0</v>
      </c>
      <c r="AC132" s="1" t="b">
        <v>0</v>
      </c>
      <c r="AD132" s="1">
        <v>67.0</v>
      </c>
      <c r="AE132" s="1">
        <v>4.0</v>
      </c>
      <c r="AF132" s="3">
        <v>46156.0</v>
      </c>
      <c r="AG132" s="1" t="s">
        <v>55</v>
      </c>
      <c r="AH132" s="1" t="s">
        <v>55</v>
      </c>
      <c r="AI132" s="1" t="s">
        <v>551</v>
      </c>
      <c r="AJ132" s="1" t="s">
        <v>58</v>
      </c>
      <c r="AK132" s="1">
        <v>81637.0</v>
      </c>
      <c r="AL132" s="1" t="s">
        <v>59</v>
      </c>
      <c r="AM132" s="1" t="s">
        <v>60</v>
      </c>
      <c r="AN132" s="4" t="s">
        <v>552</v>
      </c>
      <c r="AO132" s="4" t="s">
        <v>553</v>
      </c>
      <c r="AP132" s="1" t="s">
        <v>554</v>
      </c>
      <c r="AQ132" s="1">
        <v>4478219.0</v>
      </c>
      <c r="AR132" s="1">
        <v>39.782302058</v>
      </c>
      <c r="AS132" s="1">
        <v>-107.1258326192</v>
      </c>
      <c r="AT132" s="5">
        <f t="shared" si="1"/>
        <v>41.81394958</v>
      </c>
      <c r="AU132" s="5">
        <f t="shared" si="2"/>
        <v>44185.20588</v>
      </c>
      <c r="AV132" s="5">
        <f t="shared" si="3"/>
        <v>0.04625130128</v>
      </c>
      <c r="AW132" s="5">
        <f t="shared" si="4"/>
        <v>-1.979232469</v>
      </c>
      <c r="AX132" s="5">
        <f t="shared" si="5"/>
        <v>-87452.79412</v>
      </c>
    </row>
    <row r="133">
      <c r="A133" s="1" t="s">
        <v>555</v>
      </c>
      <c r="B133" s="1">
        <v>3.80387084E8</v>
      </c>
      <c r="D133" s="1">
        <v>129883.0</v>
      </c>
      <c r="E133" s="1">
        <v>137810.0</v>
      </c>
      <c r="F133" s="1">
        <v>621.45</v>
      </c>
      <c r="G133" s="1">
        <v>60.4</v>
      </c>
      <c r="H133" s="1">
        <v>346.0</v>
      </c>
      <c r="I133" s="1">
        <v>3.0</v>
      </c>
      <c r="J133" s="1">
        <v>3.0</v>
      </c>
      <c r="K133" s="1">
        <v>12.0</v>
      </c>
      <c r="L133" s="1" t="b">
        <v>1</v>
      </c>
      <c r="M133" s="1" t="b">
        <v>0</v>
      </c>
      <c r="N133" s="1" t="b">
        <v>1</v>
      </c>
      <c r="O133" s="1" t="b">
        <v>1</v>
      </c>
      <c r="P133" s="1" t="b">
        <v>1</v>
      </c>
      <c r="Q133" s="1" t="b">
        <v>1</v>
      </c>
      <c r="R133" s="1" t="b">
        <v>0</v>
      </c>
      <c r="S133" s="1" t="s">
        <v>51</v>
      </c>
      <c r="T133" s="1" t="s">
        <v>256</v>
      </c>
      <c r="U133" s="1" t="s">
        <v>257</v>
      </c>
      <c r="V133" s="1">
        <v>4.55</v>
      </c>
      <c r="W133" s="1">
        <v>33.0</v>
      </c>
      <c r="X133" s="1">
        <v>4.0</v>
      </c>
      <c r="Y133" s="2">
        <v>46193.0</v>
      </c>
      <c r="Z133" s="1" t="s">
        <v>54</v>
      </c>
      <c r="AA133" s="1" t="b">
        <v>0</v>
      </c>
      <c r="AB133" s="1">
        <v>354.0</v>
      </c>
      <c r="AC133" s="1" t="b">
        <v>1</v>
      </c>
      <c r="AD133" s="1">
        <v>209.0</v>
      </c>
      <c r="AE133" s="1">
        <v>74.0</v>
      </c>
      <c r="AF133" s="3">
        <v>46159.0</v>
      </c>
      <c r="AG133" s="1" t="s">
        <v>55</v>
      </c>
      <c r="AH133" s="1" t="s">
        <v>55</v>
      </c>
      <c r="AI133" s="1" t="s">
        <v>55</v>
      </c>
      <c r="AJ133" s="1" t="s">
        <v>58</v>
      </c>
      <c r="AK133" s="1">
        <v>81601.0</v>
      </c>
      <c r="AL133" s="1" t="s">
        <v>59</v>
      </c>
      <c r="AM133" s="1" t="s">
        <v>60</v>
      </c>
      <c r="AN133" s="4" t="s">
        <v>556</v>
      </c>
      <c r="AO133" s="4" t="s">
        <v>557</v>
      </c>
      <c r="AP133" s="1" t="s">
        <v>558</v>
      </c>
      <c r="AQ133" s="1">
        <v>4270923.0</v>
      </c>
      <c r="AR133" s="1">
        <v>39.56054</v>
      </c>
      <c r="AS133" s="1">
        <v>-107.29611</v>
      </c>
      <c r="AT133" s="5">
        <f t="shared" si="1"/>
        <v>41.81394958</v>
      </c>
      <c r="AU133" s="5">
        <f t="shared" si="2"/>
        <v>44185.20588</v>
      </c>
      <c r="AV133" s="5">
        <f t="shared" si="3"/>
        <v>-0.4444940171</v>
      </c>
      <c r="AW133" s="5">
        <f t="shared" si="4"/>
        <v>-1.939513292</v>
      </c>
      <c r="AX133" s="5">
        <f t="shared" si="5"/>
        <v>-85697.79412</v>
      </c>
    </row>
    <row r="134">
      <c r="A134" s="1" t="s">
        <v>559</v>
      </c>
      <c r="B134" s="1">
        <v>2.1325532E7</v>
      </c>
      <c r="D134" s="1">
        <v>128918.0</v>
      </c>
      <c r="E134" s="1">
        <v>143496.0</v>
      </c>
      <c r="F134" s="1">
        <v>954.95</v>
      </c>
      <c r="G134" s="1">
        <v>41.16</v>
      </c>
      <c r="H134" s="1">
        <v>338.0</v>
      </c>
      <c r="I134" s="1">
        <v>4.0</v>
      </c>
      <c r="J134" s="1">
        <v>3.0</v>
      </c>
      <c r="K134" s="1">
        <v>12.0</v>
      </c>
      <c r="L134" s="1" t="b">
        <v>1</v>
      </c>
      <c r="M134" s="1" t="b">
        <v>0</v>
      </c>
      <c r="N134" s="1" t="b">
        <v>1</v>
      </c>
      <c r="O134" s="1" t="b">
        <v>1</v>
      </c>
      <c r="P134" s="1" t="b">
        <v>1</v>
      </c>
      <c r="Q134" s="1" t="b">
        <v>0</v>
      </c>
      <c r="R134" s="1" t="b">
        <v>0</v>
      </c>
      <c r="S134" s="1" t="s">
        <v>51</v>
      </c>
      <c r="T134" s="1" t="s">
        <v>65</v>
      </c>
      <c r="U134" s="1" t="s">
        <v>53</v>
      </c>
      <c r="V134" s="1">
        <v>4.95</v>
      </c>
      <c r="W134" s="1">
        <v>81.0</v>
      </c>
      <c r="X134" s="1">
        <v>2.0</v>
      </c>
      <c r="Y134" s="1">
        <v>1.0</v>
      </c>
      <c r="Z134" s="1" t="s">
        <v>54</v>
      </c>
      <c r="AA134" s="1" t="b">
        <v>1</v>
      </c>
      <c r="AB134" s="1">
        <v>350.0</v>
      </c>
      <c r="AC134" s="1" t="b">
        <v>0</v>
      </c>
      <c r="AD134" s="1">
        <v>135.0</v>
      </c>
      <c r="AE134" s="1">
        <v>46.0</v>
      </c>
      <c r="AF134" s="3">
        <v>46155.0</v>
      </c>
      <c r="AG134" s="1" t="s">
        <v>55</v>
      </c>
      <c r="AH134" s="1" t="s">
        <v>55</v>
      </c>
      <c r="AI134" s="1" t="s">
        <v>55</v>
      </c>
      <c r="AJ134" s="1" t="s">
        <v>58</v>
      </c>
      <c r="AK134" s="1">
        <v>81601.0</v>
      </c>
      <c r="AL134" s="1" t="s">
        <v>59</v>
      </c>
      <c r="AM134" s="1" t="s">
        <v>60</v>
      </c>
      <c r="AN134" s="4" t="s">
        <v>560</v>
      </c>
      <c r="AO134" s="4" t="s">
        <v>561</v>
      </c>
      <c r="AP134" s="1" t="s">
        <v>562</v>
      </c>
      <c r="AQ134" s="1">
        <v>3150753.0</v>
      </c>
      <c r="AR134" s="1">
        <v>39.47882</v>
      </c>
      <c r="AS134" s="1">
        <v>-107.31528</v>
      </c>
      <c r="AT134" s="5">
        <f t="shared" si="1"/>
        <v>41.81394958</v>
      </c>
      <c r="AU134" s="5">
        <f t="shared" si="2"/>
        <v>44185.20588</v>
      </c>
      <c r="AV134" s="5">
        <f t="shared" si="3"/>
        <v>0.01563950754</v>
      </c>
      <c r="AW134" s="5">
        <f t="shared" si="4"/>
        <v>-1.917673403</v>
      </c>
      <c r="AX134" s="5">
        <f t="shared" si="5"/>
        <v>-84732.79412</v>
      </c>
    </row>
    <row r="135">
      <c r="A135" s="1" t="s">
        <v>563</v>
      </c>
      <c r="B135" s="1">
        <v>4.149941E7</v>
      </c>
      <c r="D135" s="1">
        <v>124852.0</v>
      </c>
      <c r="E135" s="1">
        <v>146793.0</v>
      </c>
      <c r="F135" s="1">
        <v>1664.69</v>
      </c>
      <c r="G135" s="1">
        <v>32.61</v>
      </c>
      <c r="H135" s="1">
        <v>326.0</v>
      </c>
      <c r="I135" s="1">
        <v>4.0</v>
      </c>
      <c r="J135" s="1">
        <v>3.0</v>
      </c>
      <c r="K135" s="1">
        <v>10.0</v>
      </c>
      <c r="L135" s="1" t="b">
        <v>1</v>
      </c>
      <c r="M135" s="1" t="b">
        <v>0</v>
      </c>
      <c r="N135" s="1" t="b">
        <v>1</v>
      </c>
      <c r="O135" s="1" t="b">
        <v>1</v>
      </c>
      <c r="P135" s="1" t="b">
        <v>1</v>
      </c>
      <c r="Q135" s="1" t="b">
        <v>1</v>
      </c>
      <c r="R135" s="1" t="b">
        <v>0</v>
      </c>
      <c r="S135" s="1" t="s">
        <v>51</v>
      </c>
      <c r="T135" s="1" t="s">
        <v>65</v>
      </c>
      <c r="U135" s="1" t="s">
        <v>53</v>
      </c>
      <c r="V135" s="1">
        <v>5.0</v>
      </c>
      <c r="W135" s="1">
        <v>105.0</v>
      </c>
      <c r="X135" s="1">
        <v>4.0</v>
      </c>
      <c r="Y135" s="2">
        <v>46058.0</v>
      </c>
      <c r="Z135" s="1" t="s">
        <v>54</v>
      </c>
      <c r="AA135" s="1" t="b">
        <v>1</v>
      </c>
      <c r="AB135" s="1">
        <v>350.0</v>
      </c>
      <c r="AC135" s="1" t="b">
        <v>0</v>
      </c>
      <c r="AD135" s="1">
        <v>75.0</v>
      </c>
      <c r="AE135" s="1">
        <v>13.0</v>
      </c>
      <c r="AF135" s="3">
        <v>46155.0</v>
      </c>
      <c r="AG135" s="1" t="s">
        <v>55</v>
      </c>
      <c r="AH135" s="1" t="s">
        <v>72</v>
      </c>
      <c r="AI135" s="1" t="s">
        <v>56</v>
      </c>
      <c r="AJ135" s="1" t="s">
        <v>58</v>
      </c>
      <c r="AK135" s="1">
        <v>81623.0</v>
      </c>
      <c r="AL135" s="1" t="s">
        <v>59</v>
      </c>
      <c r="AM135" s="1" t="s">
        <v>60</v>
      </c>
      <c r="AN135" s="4" t="s">
        <v>564</v>
      </c>
      <c r="AO135" s="4" t="s">
        <v>565</v>
      </c>
      <c r="AP135" s="1">
        <v>7873948.0</v>
      </c>
      <c r="AQ135" s="1">
        <v>513899.0</v>
      </c>
      <c r="AR135" s="1">
        <v>39.3875</v>
      </c>
      <c r="AS135" s="1">
        <v>-107.09368</v>
      </c>
      <c r="AT135" s="5">
        <f t="shared" si="1"/>
        <v>41.81394958</v>
      </c>
      <c r="AU135" s="5">
        <f t="shared" si="2"/>
        <v>44185.20588</v>
      </c>
      <c r="AV135" s="5">
        <f t="shared" si="3"/>
        <v>0.2201167235</v>
      </c>
      <c r="AW135" s="5">
        <f t="shared" si="4"/>
        <v>-1.825651652</v>
      </c>
      <c r="AX135" s="5">
        <f t="shared" si="5"/>
        <v>-80666.79412</v>
      </c>
    </row>
    <row r="136">
      <c r="A136" s="1" t="s">
        <v>566</v>
      </c>
      <c r="B136" s="1">
        <v>1.33420805E8</v>
      </c>
      <c r="D136" s="1">
        <v>123425.0</v>
      </c>
      <c r="E136" s="1">
        <v>131428.0</v>
      </c>
      <c r="F136" s="1">
        <v>536.63</v>
      </c>
      <c r="G136" s="1">
        <v>67.45</v>
      </c>
      <c r="H136" s="1">
        <v>341.0</v>
      </c>
      <c r="I136" s="1">
        <v>3.0</v>
      </c>
      <c r="J136" s="1">
        <v>3.0</v>
      </c>
      <c r="K136" s="1">
        <v>10.0</v>
      </c>
      <c r="L136" s="1" t="b">
        <v>1</v>
      </c>
      <c r="M136" s="1" t="b">
        <v>0</v>
      </c>
      <c r="N136" s="1" t="b">
        <v>1</v>
      </c>
      <c r="O136" s="1" t="b">
        <v>1</v>
      </c>
      <c r="P136" s="1" t="b">
        <v>1</v>
      </c>
      <c r="Q136" s="1" t="b">
        <v>0</v>
      </c>
      <c r="R136" s="1" t="b">
        <v>0</v>
      </c>
      <c r="S136" s="1" t="s">
        <v>51</v>
      </c>
      <c r="T136" s="1" t="s">
        <v>65</v>
      </c>
      <c r="U136" s="1" t="s">
        <v>53</v>
      </c>
      <c r="V136" s="1">
        <v>4.85</v>
      </c>
      <c r="W136" s="1">
        <v>152.0</v>
      </c>
      <c r="X136" s="1">
        <v>3.0</v>
      </c>
      <c r="Y136" s="2">
        <v>46193.0</v>
      </c>
      <c r="Z136" s="1" t="s">
        <v>54</v>
      </c>
      <c r="AA136" s="1" t="b">
        <v>1</v>
      </c>
      <c r="AB136" s="1">
        <v>202.0</v>
      </c>
      <c r="AC136" s="1" t="b">
        <v>1</v>
      </c>
      <c r="AD136" s="1">
        <v>230.0</v>
      </c>
      <c r="AE136" s="1">
        <v>65.0</v>
      </c>
      <c r="AF136" s="3">
        <v>46159.0</v>
      </c>
      <c r="AG136" s="1" t="s">
        <v>55</v>
      </c>
      <c r="AH136" s="1" t="s">
        <v>55</v>
      </c>
      <c r="AI136" s="1" t="s">
        <v>55</v>
      </c>
      <c r="AJ136" s="1" t="s">
        <v>58</v>
      </c>
      <c r="AK136" s="1">
        <v>81601.0</v>
      </c>
      <c r="AL136" s="1" t="s">
        <v>59</v>
      </c>
      <c r="AM136" s="1" t="s">
        <v>60</v>
      </c>
      <c r="AN136" s="4" t="s">
        <v>567</v>
      </c>
      <c r="AO136" s="4" t="s">
        <v>568</v>
      </c>
      <c r="AP136" s="1">
        <v>5.4167037E7</v>
      </c>
      <c r="AQ136" s="1">
        <v>2609575.0</v>
      </c>
      <c r="AR136" s="1">
        <v>39.52972</v>
      </c>
      <c r="AS136" s="1">
        <v>-107.32726</v>
      </c>
      <c r="AT136" s="5">
        <f t="shared" si="1"/>
        <v>41.81394958</v>
      </c>
      <c r="AU136" s="5">
        <f t="shared" si="2"/>
        <v>44185.20588</v>
      </c>
      <c r="AV136" s="5">
        <f t="shared" si="3"/>
        <v>-0.6130980373</v>
      </c>
      <c r="AW136" s="5">
        <f t="shared" si="4"/>
        <v>-1.793355775</v>
      </c>
      <c r="AX136" s="5">
        <f t="shared" si="5"/>
        <v>-79239.79412</v>
      </c>
    </row>
    <row r="137">
      <c r="A137" s="1" t="s">
        <v>569</v>
      </c>
      <c r="B137" s="1" t="s">
        <v>98</v>
      </c>
      <c r="D137" s="1">
        <v>110444.0</v>
      </c>
      <c r="E137" s="1">
        <v>113351.0</v>
      </c>
      <c r="F137" s="1">
        <v>1187.57</v>
      </c>
      <c r="G137" s="1">
        <v>66.91</v>
      </c>
      <c r="H137" s="1">
        <v>171.0</v>
      </c>
      <c r="I137" s="1">
        <v>4.0</v>
      </c>
      <c r="J137" s="1">
        <v>4.0</v>
      </c>
      <c r="K137" s="1">
        <v>8.0</v>
      </c>
      <c r="L137" s="1" t="b">
        <v>1</v>
      </c>
      <c r="M137" s="1" t="b">
        <v>0</v>
      </c>
      <c r="N137" s="1" t="b">
        <v>1</v>
      </c>
      <c r="O137" s="1" t="b">
        <v>1</v>
      </c>
      <c r="P137" s="1" t="b">
        <v>1</v>
      </c>
      <c r="Q137" s="1" t="b">
        <v>1</v>
      </c>
      <c r="R137" s="1" t="b">
        <v>0</v>
      </c>
      <c r="S137" s="1" t="s">
        <v>51</v>
      </c>
      <c r="T137" s="1" t="s">
        <v>65</v>
      </c>
      <c r="U137" s="1" t="s">
        <v>53</v>
      </c>
      <c r="V137" s="1">
        <v>5.0</v>
      </c>
      <c r="W137" s="1">
        <v>9.0</v>
      </c>
      <c r="X137" s="1">
        <v>4.0</v>
      </c>
      <c r="Y137" s="1" t="s">
        <v>71</v>
      </c>
      <c r="Z137" s="1" t="s">
        <v>54</v>
      </c>
      <c r="AA137" s="1" t="b">
        <v>1</v>
      </c>
      <c r="AB137" s="1">
        <v>725.0</v>
      </c>
      <c r="AC137" s="1" t="b">
        <v>0</v>
      </c>
      <c r="AD137" s="1">
        <v>93.0</v>
      </c>
      <c r="AE137" s="1">
        <v>16.0</v>
      </c>
      <c r="AF137" s="3">
        <v>46155.0</v>
      </c>
      <c r="AG137" s="1" t="s">
        <v>55</v>
      </c>
      <c r="AH137" s="1" t="s">
        <v>72</v>
      </c>
      <c r="AI137" s="1" t="s">
        <v>72</v>
      </c>
      <c r="AJ137" s="1" t="s">
        <v>58</v>
      </c>
      <c r="AK137" s="1">
        <v>81621.0</v>
      </c>
      <c r="AL137" s="1" t="s">
        <v>59</v>
      </c>
      <c r="AM137" s="1" t="s">
        <v>60</v>
      </c>
      <c r="AN137" s="4" t="s">
        <v>570</v>
      </c>
      <c r="AO137" s="4" t="s">
        <v>571</v>
      </c>
      <c r="AP137" s="1" t="s">
        <v>572</v>
      </c>
      <c r="AQ137" s="1">
        <v>4951168.0</v>
      </c>
      <c r="AR137" s="1">
        <v>39.37249</v>
      </c>
      <c r="AS137" s="1">
        <v>-107.03089</v>
      </c>
      <c r="AT137" s="5">
        <f t="shared" si="1"/>
        <v>41.81394958</v>
      </c>
      <c r="AU137" s="5">
        <f t="shared" si="2"/>
        <v>44185.20588</v>
      </c>
      <c r="AV137" s="5">
        <f t="shared" si="3"/>
        <v>-0.6001836868</v>
      </c>
      <c r="AW137" s="5">
        <f t="shared" si="4"/>
        <v>-1.499569659</v>
      </c>
      <c r="AX137" s="5">
        <f t="shared" si="5"/>
        <v>-66258.79412</v>
      </c>
    </row>
    <row r="138">
      <c r="A138" s="1" t="s">
        <v>573</v>
      </c>
      <c r="B138" s="1">
        <v>2063313.0</v>
      </c>
      <c r="D138" s="1">
        <v>103700.0</v>
      </c>
      <c r="E138" s="1">
        <v>114640.0</v>
      </c>
      <c r="F138" s="1">
        <v>595.98</v>
      </c>
      <c r="G138" s="1">
        <v>63.74</v>
      </c>
      <c r="H138" s="1">
        <v>274.0</v>
      </c>
      <c r="I138" s="1">
        <v>3.0</v>
      </c>
      <c r="J138" s="1">
        <v>2.0</v>
      </c>
      <c r="K138" s="1">
        <v>6.0</v>
      </c>
      <c r="L138" s="1" t="b">
        <v>1</v>
      </c>
      <c r="M138" s="1" t="b">
        <v>0</v>
      </c>
      <c r="N138" s="1" t="b">
        <v>1</v>
      </c>
      <c r="O138" s="1" t="b">
        <v>1</v>
      </c>
      <c r="P138" s="1" t="b">
        <v>1</v>
      </c>
      <c r="Q138" s="1" t="b">
        <v>1</v>
      </c>
      <c r="R138" s="1" t="b">
        <v>0</v>
      </c>
      <c r="S138" s="1" t="s">
        <v>51</v>
      </c>
      <c r="T138" s="1" t="s">
        <v>65</v>
      </c>
      <c r="U138" s="1" t="s">
        <v>53</v>
      </c>
      <c r="V138" s="1">
        <v>5.0</v>
      </c>
      <c r="W138" s="1">
        <v>154.0</v>
      </c>
      <c r="X138" s="1">
        <v>2.0</v>
      </c>
      <c r="Y138" s="2">
        <v>46058.0</v>
      </c>
      <c r="Z138" s="1" t="s">
        <v>54</v>
      </c>
      <c r="AA138" s="1" t="b">
        <v>1</v>
      </c>
      <c r="AB138" s="1">
        <v>280.0</v>
      </c>
      <c r="AC138" s="1" t="b">
        <v>0</v>
      </c>
      <c r="AD138" s="1">
        <v>174.0</v>
      </c>
      <c r="AE138" s="1">
        <v>46.0</v>
      </c>
      <c r="AF138" s="3">
        <v>46111.0</v>
      </c>
      <c r="AG138" s="1" t="s">
        <v>55</v>
      </c>
      <c r="AH138" s="1" t="s">
        <v>72</v>
      </c>
      <c r="AI138" s="1" t="s">
        <v>72</v>
      </c>
      <c r="AJ138" s="1" t="s">
        <v>58</v>
      </c>
      <c r="AK138" s="1">
        <v>81621.0</v>
      </c>
      <c r="AL138" s="1" t="s">
        <v>59</v>
      </c>
      <c r="AM138" s="1" t="s">
        <v>60</v>
      </c>
      <c r="AN138" s="4" t="s">
        <v>574</v>
      </c>
      <c r="AO138" s="4" t="s">
        <v>575</v>
      </c>
      <c r="AP138" s="1">
        <v>4.6217145E7</v>
      </c>
      <c r="AQ138" s="1">
        <v>2159591.0</v>
      </c>
      <c r="AR138" s="1">
        <v>39.38364</v>
      </c>
      <c r="AS138" s="1">
        <v>-106.94435</v>
      </c>
      <c r="AT138" s="5">
        <f t="shared" si="1"/>
        <v>41.81394958</v>
      </c>
      <c r="AU138" s="5">
        <f t="shared" si="2"/>
        <v>44185.20588</v>
      </c>
      <c r="AV138" s="5">
        <f t="shared" si="3"/>
        <v>-0.5243716664</v>
      </c>
      <c r="AW138" s="5">
        <f t="shared" si="4"/>
        <v>-1.346939387</v>
      </c>
      <c r="AX138" s="5">
        <f t="shared" si="5"/>
        <v>-59514.79412</v>
      </c>
    </row>
    <row r="139">
      <c r="A139" s="1" t="s">
        <v>576</v>
      </c>
      <c r="B139" s="1" t="s">
        <v>190</v>
      </c>
      <c r="D139" s="1">
        <v>98062.0</v>
      </c>
      <c r="E139" s="1">
        <v>108005.0</v>
      </c>
      <c r="F139" s="1">
        <v>695.48</v>
      </c>
      <c r="G139" s="1">
        <v>46.53</v>
      </c>
      <c r="H139" s="1">
        <v>334.0</v>
      </c>
      <c r="I139" s="1">
        <v>3.0</v>
      </c>
      <c r="J139" s="1">
        <v>4.0</v>
      </c>
      <c r="K139" s="1">
        <v>8.0</v>
      </c>
      <c r="L139" s="1" t="b">
        <v>1</v>
      </c>
      <c r="M139" s="1" t="b">
        <v>0</v>
      </c>
      <c r="N139" s="1" t="b">
        <v>1</v>
      </c>
      <c r="O139" s="1" t="b">
        <v>1</v>
      </c>
      <c r="P139" s="1" t="b">
        <v>1</v>
      </c>
      <c r="Q139" s="1" t="b">
        <v>0</v>
      </c>
      <c r="R139" s="1" t="b">
        <v>0</v>
      </c>
      <c r="S139" s="1" t="s">
        <v>51</v>
      </c>
      <c r="T139" s="1" t="s">
        <v>65</v>
      </c>
      <c r="U139" s="1" t="s">
        <v>53</v>
      </c>
      <c r="V139" s="1">
        <v>4.85</v>
      </c>
      <c r="W139" s="1">
        <v>108.0</v>
      </c>
      <c r="X139" s="1">
        <v>2.0</v>
      </c>
      <c r="Y139" s="1" t="s">
        <v>71</v>
      </c>
      <c r="Z139" s="1" t="s">
        <v>54</v>
      </c>
      <c r="AA139" s="1" t="b">
        <v>1</v>
      </c>
      <c r="AB139" s="1">
        <v>339.0</v>
      </c>
      <c r="AC139" s="1" t="b">
        <v>1</v>
      </c>
      <c r="AD139" s="1">
        <v>141.0</v>
      </c>
      <c r="AE139" s="1">
        <v>38.0</v>
      </c>
      <c r="AF139" s="3">
        <v>46158.0</v>
      </c>
      <c r="AG139" s="1" t="s">
        <v>55</v>
      </c>
      <c r="AH139" s="1" t="s">
        <v>72</v>
      </c>
      <c r="AI139" s="1" t="s">
        <v>56</v>
      </c>
      <c r="AJ139" s="1" t="s">
        <v>58</v>
      </c>
      <c r="AK139" s="1">
        <v>81623.0</v>
      </c>
      <c r="AL139" s="1" t="s">
        <v>59</v>
      </c>
      <c r="AM139" s="1" t="s">
        <v>60</v>
      </c>
      <c r="AN139" s="4" t="s">
        <v>577</v>
      </c>
      <c r="AO139" s="4" t="s">
        <v>578</v>
      </c>
      <c r="AP139" s="1">
        <v>3.9444731E7</v>
      </c>
      <c r="AQ139" s="1">
        <v>1790441.0</v>
      </c>
      <c r="AR139" s="1">
        <v>39.38334</v>
      </c>
      <c r="AS139" s="1">
        <v>-107.07757</v>
      </c>
      <c r="AT139" s="5">
        <f t="shared" si="1"/>
        <v>41.81394958</v>
      </c>
      <c r="AU139" s="5">
        <f t="shared" si="2"/>
        <v>44185.20588</v>
      </c>
      <c r="AV139" s="5">
        <f t="shared" si="3"/>
        <v>-0.1127865334</v>
      </c>
      <c r="AW139" s="5">
        <f t="shared" si="4"/>
        <v>-1.219340117</v>
      </c>
      <c r="AX139" s="5">
        <f t="shared" si="5"/>
        <v>-53876.79412</v>
      </c>
    </row>
    <row r="140">
      <c r="A140" s="1" t="s">
        <v>579</v>
      </c>
      <c r="B140" s="1">
        <v>1.11180459E8</v>
      </c>
      <c r="D140" s="1">
        <v>81874.0</v>
      </c>
      <c r="E140" s="1">
        <v>154207.0</v>
      </c>
      <c r="F140" s="1">
        <v>693.85</v>
      </c>
      <c r="G140" s="1">
        <v>66.29</v>
      </c>
      <c r="H140" s="1">
        <v>182.0</v>
      </c>
      <c r="I140" s="1">
        <v>3.0</v>
      </c>
      <c r="J140" s="1">
        <v>3.0</v>
      </c>
      <c r="K140" s="1">
        <v>8.0</v>
      </c>
      <c r="L140" s="1" t="b">
        <v>0</v>
      </c>
      <c r="M140" s="1" t="b">
        <v>0</v>
      </c>
      <c r="N140" s="1" t="b">
        <v>1</v>
      </c>
      <c r="O140" s="1" t="b">
        <v>1</v>
      </c>
      <c r="P140" s="1" t="b">
        <v>1</v>
      </c>
      <c r="Q140" s="1" t="b">
        <v>1</v>
      </c>
      <c r="R140" s="1" t="b">
        <v>0</v>
      </c>
      <c r="S140" s="1" t="s">
        <v>51</v>
      </c>
      <c r="T140" s="1" t="s">
        <v>137</v>
      </c>
      <c r="U140" s="1" t="s">
        <v>53</v>
      </c>
      <c r="V140" s="1">
        <v>5.0</v>
      </c>
      <c r="W140" s="1">
        <v>159.0</v>
      </c>
      <c r="X140" s="1">
        <v>2.0</v>
      </c>
      <c r="Y140" s="2">
        <v>46058.0</v>
      </c>
      <c r="Z140" s="1" t="s">
        <v>54</v>
      </c>
      <c r="AA140" s="1" t="b">
        <v>1</v>
      </c>
      <c r="AB140" s="1">
        <v>344.0</v>
      </c>
      <c r="AC140" s="1" t="b">
        <v>1</v>
      </c>
      <c r="AD140" s="1">
        <v>118.0</v>
      </c>
      <c r="AE140" s="1">
        <v>42.0</v>
      </c>
      <c r="AF140" s="3">
        <v>46159.0</v>
      </c>
      <c r="AG140" s="1" t="s">
        <v>55</v>
      </c>
      <c r="AH140" s="1" t="s">
        <v>55</v>
      </c>
      <c r="AI140" s="1" t="s">
        <v>55</v>
      </c>
      <c r="AJ140" s="1" t="s">
        <v>58</v>
      </c>
      <c r="AK140" s="1">
        <v>81601.0</v>
      </c>
      <c r="AL140" s="1" t="s">
        <v>59</v>
      </c>
      <c r="AM140" s="1" t="s">
        <v>60</v>
      </c>
      <c r="AN140" s="4" t="s">
        <v>580</v>
      </c>
      <c r="AO140" s="4" t="s">
        <v>581</v>
      </c>
      <c r="AP140" s="1">
        <v>4.2758767E7</v>
      </c>
      <c r="AQ140" s="1">
        <v>2822814.0</v>
      </c>
      <c r="AR140" s="1">
        <v>39.5385</v>
      </c>
      <c r="AS140" s="1">
        <v>-107.2547</v>
      </c>
      <c r="AT140" s="5">
        <f t="shared" si="1"/>
        <v>41.81394958</v>
      </c>
      <c r="AU140" s="5">
        <f t="shared" si="2"/>
        <v>44185.20588</v>
      </c>
      <c r="AV140" s="5">
        <f t="shared" si="3"/>
        <v>-0.5853560992</v>
      </c>
      <c r="AW140" s="5">
        <f t="shared" si="4"/>
        <v>-0.8529731471</v>
      </c>
      <c r="AX140" s="5">
        <f t="shared" si="5"/>
        <v>-37688.79412</v>
      </c>
    </row>
    <row r="141">
      <c r="A141" s="1" t="s">
        <v>582</v>
      </c>
      <c r="B141" s="1">
        <v>3.4761196E7</v>
      </c>
      <c r="D141" s="1">
        <v>75598.0</v>
      </c>
      <c r="E141" s="1">
        <v>86321.0</v>
      </c>
      <c r="F141" s="1">
        <v>354.92</v>
      </c>
      <c r="G141" s="1">
        <v>85.89</v>
      </c>
      <c r="H141" s="1">
        <v>329.0</v>
      </c>
      <c r="I141" s="1">
        <v>2.0</v>
      </c>
      <c r="J141" s="1">
        <v>2.0</v>
      </c>
      <c r="K141" s="1">
        <v>6.0</v>
      </c>
      <c r="L141" s="1" t="b">
        <v>1</v>
      </c>
      <c r="M141" s="1" t="b">
        <v>0</v>
      </c>
      <c r="N141" s="1" t="b">
        <v>0</v>
      </c>
      <c r="O141" s="1" t="b">
        <v>1</v>
      </c>
      <c r="P141" s="1" t="b">
        <v>1</v>
      </c>
      <c r="Q141" s="1" t="b">
        <v>1</v>
      </c>
      <c r="R141" s="1" t="b">
        <v>0</v>
      </c>
      <c r="S141" s="1" t="s">
        <v>51</v>
      </c>
      <c r="T141" s="1" t="s">
        <v>65</v>
      </c>
      <c r="U141" s="1" t="s">
        <v>53</v>
      </c>
      <c r="V141" s="1">
        <v>4.95</v>
      </c>
      <c r="W141" s="1">
        <v>119.0</v>
      </c>
      <c r="X141" s="1">
        <v>3.0</v>
      </c>
      <c r="Y141" s="2">
        <v>46193.0</v>
      </c>
      <c r="Z141" s="1" t="s">
        <v>54</v>
      </c>
      <c r="AA141" s="1" t="b">
        <v>1</v>
      </c>
      <c r="AB141" s="1">
        <v>295.0</v>
      </c>
      <c r="AC141" s="1" t="b">
        <v>1</v>
      </c>
      <c r="AD141" s="1">
        <v>213.0</v>
      </c>
      <c r="AE141" s="1">
        <v>14.0</v>
      </c>
      <c r="AF141" s="3">
        <v>46158.0</v>
      </c>
      <c r="AG141" s="1" t="s">
        <v>55</v>
      </c>
      <c r="AH141" s="1" t="s">
        <v>72</v>
      </c>
      <c r="AI141" s="1" t="s">
        <v>56</v>
      </c>
      <c r="AJ141" s="1" t="s">
        <v>58</v>
      </c>
      <c r="AK141" s="1">
        <v>81623.0</v>
      </c>
      <c r="AL141" s="1" t="s">
        <v>59</v>
      </c>
      <c r="AM141" s="1" t="s">
        <v>60</v>
      </c>
      <c r="AN141" s="4" t="s">
        <v>583</v>
      </c>
      <c r="AO141" s="4" t="s">
        <v>584</v>
      </c>
      <c r="AP141" s="1">
        <v>3.1619967E7</v>
      </c>
      <c r="AQ141" s="1">
        <v>1577130.0</v>
      </c>
      <c r="AR141" s="1">
        <v>39.38668</v>
      </c>
      <c r="AS141" s="1">
        <v>-107.08717</v>
      </c>
      <c r="AT141" s="5">
        <f t="shared" si="1"/>
        <v>41.81394958</v>
      </c>
      <c r="AU141" s="5">
        <f t="shared" si="2"/>
        <v>44185.20588</v>
      </c>
      <c r="AV141" s="5">
        <f t="shared" si="3"/>
        <v>-1.054099191</v>
      </c>
      <c r="AW141" s="5">
        <f t="shared" si="4"/>
        <v>-0.7109346554</v>
      </c>
      <c r="AX141" s="5">
        <f t="shared" si="5"/>
        <v>-31412.79412</v>
      </c>
    </row>
    <row r="142">
      <c r="A142" s="1" t="s">
        <v>585</v>
      </c>
      <c r="B142" s="1">
        <v>8.8789604E7</v>
      </c>
      <c r="D142" s="1">
        <v>74854.0</v>
      </c>
      <c r="E142" s="1">
        <v>98845.0</v>
      </c>
      <c r="F142" s="1">
        <v>489.24</v>
      </c>
      <c r="G142" s="1">
        <v>65.11</v>
      </c>
      <c r="H142" s="1">
        <v>276.0</v>
      </c>
      <c r="I142" s="1">
        <v>3.0</v>
      </c>
      <c r="J142" s="1">
        <v>3.0</v>
      </c>
      <c r="K142" s="1">
        <v>6.0</v>
      </c>
      <c r="L142" s="1" t="b">
        <v>0</v>
      </c>
      <c r="M142" s="1" t="b">
        <v>0</v>
      </c>
      <c r="N142" s="1" t="b">
        <v>0</v>
      </c>
      <c r="O142" s="1" t="b">
        <v>1</v>
      </c>
      <c r="P142" s="1" t="b">
        <v>1</v>
      </c>
      <c r="Q142" s="1" t="b">
        <v>1</v>
      </c>
      <c r="R142" s="1" t="b">
        <v>0</v>
      </c>
      <c r="S142" s="1" t="s">
        <v>51</v>
      </c>
      <c r="T142" s="1" t="s">
        <v>65</v>
      </c>
      <c r="U142" s="1" t="s">
        <v>53</v>
      </c>
      <c r="V142" s="1">
        <v>4.95</v>
      </c>
      <c r="W142" s="1">
        <v>204.0</v>
      </c>
      <c r="X142" s="1">
        <v>3.0</v>
      </c>
      <c r="Y142" s="1">
        <v>1.0</v>
      </c>
      <c r="Z142" s="1" t="s">
        <v>54</v>
      </c>
      <c r="AA142" s="1" t="b">
        <v>1</v>
      </c>
      <c r="AB142" s="1">
        <v>0.0</v>
      </c>
      <c r="AC142" s="1" t="b">
        <v>0</v>
      </c>
      <c r="AD142" s="1">
        <v>153.0</v>
      </c>
      <c r="AE142" s="1">
        <v>36.0</v>
      </c>
      <c r="AF142" s="3">
        <v>46155.0</v>
      </c>
      <c r="AG142" s="1" t="s">
        <v>55</v>
      </c>
      <c r="AH142" s="1" t="s">
        <v>55</v>
      </c>
      <c r="AI142" s="1" t="s">
        <v>55</v>
      </c>
      <c r="AJ142" s="1" t="s">
        <v>58</v>
      </c>
      <c r="AK142" s="1">
        <v>81601.0</v>
      </c>
      <c r="AL142" s="1" t="s">
        <v>59</v>
      </c>
      <c r="AM142" s="1" t="s">
        <v>60</v>
      </c>
      <c r="AN142" s="4" t="s">
        <v>586</v>
      </c>
      <c r="AO142" s="4" t="s">
        <v>587</v>
      </c>
      <c r="AP142" s="1">
        <v>2.5780785E7</v>
      </c>
      <c r="AR142" s="1">
        <v>39.55984</v>
      </c>
      <c r="AS142" s="1">
        <v>-107.29406</v>
      </c>
      <c r="AT142" s="5">
        <f t="shared" si="1"/>
        <v>41.81394958</v>
      </c>
      <c r="AU142" s="5">
        <f t="shared" si="2"/>
        <v>44185.20588</v>
      </c>
      <c r="AV142" s="5">
        <f t="shared" si="3"/>
        <v>-0.5571358519</v>
      </c>
      <c r="AW142" s="5">
        <f t="shared" si="4"/>
        <v>-0.6940964403</v>
      </c>
      <c r="AX142" s="5">
        <f t="shared" si="5"/>
        <v>-30668.79412</v>
      </c>
    </row>
    <row r="143">
      <c r="A143" s="1" t="s">
        <v>588</v>
      </c>
      <c r="B143" s="1">
        <v>9.8185388E7</v>
      </c>
      <c r="D143" s="1">
        <v>69870.0</v>
      </c>
      <c r="E143" s="1">
        <v>71829.0</v>
      </c>
      <c r="F143" s="1">
        <v>247.77</v>
      </c>
      <c r="G143" s="1">
        <v>79.66</v>
      </c>
      <c r="H143" s="1">
        <v>354.0</v>
      </c>
      <c r="I143" s="1">
        <v>1.0</v>
      </c>
      <c r="J143" s="1">
        <v>2.0</v>
      </c>
      <c r="K143" s="1">
        <v>2.0</v>
      </c>
      <c r="L143" s="1" t="b">
        <v>1</v>
      </c>
      <c r="M143" s="1" t="b">
        <v>1</v>
      </c>
      <c r="N143" s="1" t="b">
        <v>0</v>
      </c>
      <c r="O143" s="1" t="b">
        <v>1</v>
      </c>
      <c r="P143" s="1" t="b">
        <v>1</v>
      </c>
      <c r="Q143" s="1" t="b">
        <v>0</v>
      </c>
      <c r="R143" s="1" t="b">
        <v>0</v>
      </c>
      <c r="S143" s="1" t="s">
        <v>51</v>
      </c>
      <c r="T143" s="1" t="s">
        <v>209</v>
      </c>
      <c r="U143" s="1" t="s">
        <v>164</v>
      </c>
      <c r="V143" s="1">
        <v>5.0</v>
      </c>
      <c r="W143" s="1">
        <v>117.0</v>
      </c>
      <c r="X143" s="1">
        <v>2.0</v>
      </c>
      <c r="Y143" s="2">
        <v>46058.0</v>
      </c>
      <c r="Z143" s="1" t="s">
        <v>54</v>
      </c>
      <c r="AA143" s="1" t="b">
        <v>1</v>
      </c>
      <c r="AB143" s="1">
        <v>155.0</v>
      </c>
      <c r="AC143" s="1" t="b">
        <v>1</v>
      </c>
      <c r="AD143" s="1">
        <v>282.0</v>
      </c>
      <c r="AE143" s="1">
        <v>84.0</v>
      </c>
      <c r="AF143" s="3">
        <v>46159.0</v>
      </c>
      <c r="AG143" s="1" t="s">
        <v>55</v>
      </c>
      <c r="AH143" s="1" t="s">
        <v>72</v>
      </c>
      <c r="AI143" s="1" t="s">
        <v>72</v>
      </c>
      <c r="AJ143" s="1" t="s">
        <v>58</v>
      </c>
      <c r="AK143" s="1">
        <v>81621.0</v>
      </c>
      <c r="AL143" s="1" t="s">
        <v>59</v>
      </c>
      <c r="AM143" s="1" t="s">
        <v>60</v>
      </c>
      <c r="AN143" s="4" t="s">
        <v>589</v>
      </c>
      <c r="AO143" s="4" t="s">
        <v>590</v>
      </c>
      <c r="AP143" s="1" t="s">
        <v>591</v>
      </c>
      <c r="AQ143" s="1">
        <v>3422617.0</v>
      </c>
      <c r="AR143" s="1">
        <v>39.38504</v>
      </c>
      <c r="AS143" s="1">
        <v>-107.08344</v>
      </c>
      <c r="AT143" s="5">
        <f t="shared" si="1"/>
        <v>41.81394958</v>
      </c>
      <c r="AU143" s="5">
        <f t="shared" si="2"/>
        <v>44185.20588</v>
      </c>
      <c r="AV143" s="5">
        <f t="shared" si="3"/>
        <v>-0.905105851</v>
      </c>
      <c r="AW143" s="5">
        <f t="shared" si="4"/>
        <v>-0.5812985049</v>
      </c>
      <c r="AX143" s="5">
        <f t="shared" si="5"/>
        <v>-25684.79412</v>
      </c>
    </row>
    <row r="144">
      <c r="A144" s="1" t="s">
        <v>592</v>
      </c>
      <c r="B144" s="1" t="s">
        <v>98</v>
      </c>
      <c r="D144" s="1">
        <v>69518.0</v>
      </c>
      <c r="E144" s="1">
        <v>82306.0</v>
      </c>
      <c r="F144" s="1">
        <v>404.17</v>
      </c>
      <c r="G144" s="1">
        <v>63.7</v>
      </c>
      <c r="H144" s="1">
        <v>286.0</v>
      </c>
      <c r="I144" s="1">
        <v>2.0</v>
      </c>
      <c r="J144" s="1">
        <v>2.0</v>
      </c>
      <c r="K144" s="1">
        <v>5.0</v>
      </c>
      <c r="L144" s="1" t="b">
        <v>1</v>
      </c>
      <c r="M144" s="1" t="b">
        <v>1</v>
      </c>
      <c r="N144" s="1" t="b">
        <v>0</v>
      </c>
      <c r="O144" s="1" t="b">
        <v>1</v>
      </c>
      <c r="P144" s="1" t="b">
        <v>0</v>
      </c>
      <c r="Q144" s="1" t="b">
        <v>0</v>
      </c>
      <c r="R144" s="1" t="b">
        <v>0</v>
      </c>
      <c r="S144" s="1" t="s">
        <v>51</v>
      </c>
      <c r="T144" s="1" t="s">
        <v>163</v>
      </c>
      <c r="U144" s="1" t="s">
        <v>164</v>
      </c>
      <c r="V144" s="1">
        <v>4.85</v>
      </c>
      <c r="W144" s="1">
        <v>108.0</v>
      </c>
      <c r="X144" s="1">
        <v>2.0</v>
      </c>
      <c r="Y144" s="1" t="s">
        <v>71</v>
      </c>
      <c r="Z144" s="1" t="s">
        <v>54</v>
      </c>
      <c r="AA144" s="1" t="b">
        <v>1</v>
      </c>
      <c r="AB144" s="1">
        <v>265.0</v>
      </c>
      <c r="AC144" s="1" t="b">
        <v>0</v>
      </c>
      <c r="AD144" s="1">
        <v>172.0</v>
      </c>
      <c r="AE144" s="1">
        <v>33.0</v>
      </c>
      <c r="AF144" s="3">
        <v>46153.0</v>
      </c>
      <c r="AG144" s="1" t="s">
        <v>55</v>
      </c>
      <c r="AH144" s="1" t="s">
        <v>72</v>
      </c>
      <c r="AI144" s="1" t="s">
        <v>72</v>
      </c>
      <c r="AJ144" s="1" t="s">
        <v>58</v>
      </c>
      <c r="AK144" s="1">
        <v>81621.0</v>
      </c>
      <c r="AL144" s="1" t="s">
        <v>59</v>
      </c>
      <c r="AM144" s="1" t="s">
        <v>60</v>
      </c>
      <c r="AN144" s="4" t="s">
        <v>593</v>
      </c>
      <c r="AO144" s="4" t="s">
        <v>594</v>
      </c>
      <c r="AP144" s="1" t="s">
        <v>595</v>
      </c>
      <c r="AQ144" s="1">
        <v>2886326.0</v>
      </c>
      <c r="AR144" s="1">
        <v>39.38379</v>
      </c>
      <c r="AS144" s="1">
        <v>-107.0821</v>
      </c>
      <c r="AT144" s="5">
        <f t="shared" si="1"/>
        <v>41.81394958</v>
      </c>
      <c r="AU144" s="5">
        <f t="shared" si="2"/>
        <v>44185.20588</v>
      </c>
      <c r="AV144" s="5">
        <f t="shared" si="3"/>
        <v>-0.5234150479</v>
      </c>
      <c r="AW144" s="5">
        <f t="shared" si="4"/>
        <v>-0.5733320375</v>
      </c>
      <c r="AX144" s="5">
        <f t="shared" si="5"/>
        <v>-25332.79412</v>
      </c>
    </row>
    <row r="145">
      <c r="A145" s="1" t="s">
        <v>596</v>
      </c>
      <c r="B145" s="1" t="s">
        <v>456</v>
      </c>
      <c r="D145" s="1">
        <v>65398.0</v>
      </c>
      <c r="E145" s="1">
        <v>65398.0</v>
      </c>
      <c r="F145" s="1">
        <v>778.55</v>
      </c>
      <c r="G145" s="1">
        <v>60.87</v>
      </c>
      <c r="H145" s="1">
        <v>365.0</v>
      </c>
      <c r="I145" s="1">
        <v>4.0</v>
      </c>
      <c r="J145" s="1">
        <v>5.0</v>
      </c>
      <c r="K145" s="1">
        <v>8.0</v>
      </c>
      <c r="L145" s="1" t="b">
        <v>0</v>
      </c>
      <c r="M145" s="1" t="b">
        <v>0</v>
      </c>
      <c r="N145" s="1" t="b">
        <v>0</v>
      </c>
      <c r="O145" s="1" t="b">
        <v>1</v>
      </c>
      <c r="P145" s="1" t="b">
        <v>1</v>
      </c>
      <c r="Q145" s="1" t="b">
        <v>0</v>
      </c>
      <c r="R145" s="1" t="b">
        <v>0</v>
      </c>
      <c r="S145" s="1" t="s">
        <v>51</v>
      </c>
      <c r="T145" s="1" t="s">
        <v>65</v>
      </c>
      <c r="U145" s="1" t="s">
        <v>53</v>
      </c>
      <c r="V145" s="1">
        <v>0.0</v>
      </c>
      <c r="W145" s="1">
        <v>0.0</v>
      </c>
      <c r="X145" s="1">
        <v>30.0</v>
      </c>
      <c r="Y145" s="1" t="s">
        <v>71</v>
      </c>
      <c r="Z145" s="1" t="s">
        <v>54</v>
      </c>
      <c r="AA145" s="1" t="b">
        <v>0</v>
      </c>
      <c r="AB145" s="1">
        <v>602.0</v>
      </c>
      <c r="AC145" s="1" t="b">
        <v>0</v>
      </c>
      <c r="AD145" s="1">
        <v>84.0</v>
      </c>
      <c r="AE145" s="1">
        <v>2.0</v>
      </c>
      <c r="AF145" s="3">
        <v>46156.0</v>
      </c>
      <c r="AG145" s="1" t="s">
        <v>55</v>
      </c>
      <c r="AH145" s="1" t="s">
        <v>72</v>
      </c>
      <c r="AI145" s="1" t="s">
        <v>72</v>
      </c>
      <c r="AJ145" s="1" t="s">
        <v>58</v>
      </c>
      <c r="AK145" s="1">
        <v>81621.0</v>
      </c>
      <c r="AL145" s="1" t="s">
        <v>59</v>
      </c>
      <c r="AM145" s="1" t="s">
        <v>60</v>
      </c>
      <c r="AN145" s="4" t="s">
        <v>597</v>
      </c>
      <c r="AO145" s="4" t="s">
        <v>598</v>
      </c>
      <c r="AP145" s="1" t="s">
        <v>599</v>
      </c>
      <c r="AQ145" s="1">
        <v>4151039.0</v>
      </c>
      <c r="AR145" s="1">
        <v>39.3722</v>
      </c>
      <c r="AS145" s="1">
        <v>-107.0313</v>
      </c>
      <c r="AT145" s="5">
        <f t="shared" si="1"/>
        <v>41.81394958</v>
      </c>
      <c r="AU145" s="5">
        <f t="shared" si="2"/>
        <v>44185.20588</v>
      </c>
      <c r="AV145" s="5">
        <f t="shared" si="3"/>
        <v>-0.4557342851</v>
      </c>
      <c r="AW145" s="5">
        <f t="shared" si="4"/>
        <v>-0.4800881583</v>
      </c>
      <c r="AX145" s="5">
        <f t="shared" si="5"/>
        <v>-21212.79412</v>
      </c>
    </row>
    <row r="146">
      <c r="A146" s="1" t="s">
        <v>600</v>
      </c>
      <c r="B146" s="1">
        <v>5.0315836E7</v>
      </c>
      <c r="D146" s="1">
        <v>65106.0</v>
      </c>
      <c r="E146" s="1">
        <v>74058.0</v>
      </c>
      <c r="F146" s="1">
        <v>1162.61</v>
      </c>
      <c r="G146" s="1">
        <v>27.18</v>
      </c>
      <c r="H146" s="1">
        <v>345.0</v>
      </c>
      <c r="I146" s="1">
        <v>4.0</v>
      </c>
      <c r="J146" s="1">
        <v>3.0</v>
      </c>
      <c r="K146" s="1">
        <v>8.0</v>
      </c>
      <c r="L146" s="1" t="b">
        <v>1</v>
      </c>
      <c r="M146" s="1" t="b">
        <v>1</v>
      </c>
      <c r="N146" s="1" t="b">
        <v>1</v>
      </c>
      <c r="O146" s="1" t="b">
        <v>1</v>
      </c>
      <c r="P146" s="1" t="b">
        <v>1</v>
      </c>
      <c r="Q146" s="1" t="b">
        <v>1</v>
      </c>
      <c r="R146" s="1" t="b">
        <v>0</v>
      </c>
      <c r="S146" s="1" t="s">
        <v>51</v>
      </c>
      <c r="T146" s="1" t="s">
        <v>65</v>
      </c>
      <c r="U146" s="1" t="s">
        <v>53</v>
      </c>
      <c r="V146" s="1">
        <v>5.0</v>
      </c>
      <c r="W146" s="1">
        <v>2.0</v>
      </c>
      <c r="X146" s="1">
        <v>2.0</v>
      </c>
      <c r="Y146" s="2">
        <v>46058.0</v>
      </c>
      <c r="Z146" s="1" t="s">
        <v>54</v>
      </c>
      <c r="AA146" s="1" t="b">
        <v>0</v>
      </c>
      <c r="AB146" s="1">
        <v>150.0</v>
      </c>
      <c r="AC146" s="1" t="b">
        <v>0</v>
      </c>
      <c r="AD146" s="1">
        <v>56.0</v>
      </c>
      <c r="AE146" s="1">
        <v>9.0</v>
      </c>
      <c r="AF146" s="3">
        <v>46158.0</v>
      </c>
      <c r="AG146" s="1" t="s">
        <v>55</v>
      </c>
      <c r="AH146" s="1" t="s">
        <v>72</v>
      </c>
      <c r="AI146" s="1" t="s">
        <v>56</v>
      </c>
      <c r="AJ146" s="1" t="s">
        <v>58</v>
      </c>
      <c r="AK146" s="1">
        <v>81623.0</v>
      </c>
      <c r="AL146" s="1" t="s">
        <v>59</v>
      </c>
      <c r="AM146" s="1" t="s">
        <v>60</v>
      </c>
      <c r="AN146" s="4" t="s">
        <v>601</v>
      </c>
      <c r="AO146" s="4" t="s">
        <v>602</v>
      </c>
      <c r="AP146" s="1" t="s">
        <v>603</v>
      </c>
      <c r="AQ146" s="1">
        <v>4487860.0</v>
      </c>
      <c r="AR146" s="1">
        <v>39.3797839409</v>
      </c>
      <c r="AS146" s="1">
        <v>-107.0761909618</v>
      </c>
      <c r="AT146" s="5">
        <f t="shared" si="1"/>
        <v>41.81394958</v>
      </c>
      <c r="AU146" s="5">
        <f t="shared" si="2"/>
        <v>44185.20588</v>
      </c>
      <c r="AV146" s="5">
        <f t="shared" si="3"/>
        <v>0.3499776923</v>
      </c>
      <c r="AW146" s="5">
        <f t="shared" si="4"/>
        <v>-0.4734796116</v>
      </c>
      <c r="AX146" s="5">
        <f t="shared" si="5"/>
        <v>-20920.79412</v>
      </c>
    </row>
    <row r="147">
      <c r="A147" s="1" t="s">
        <v>604</v>
      </c>
      <c r="B147" s="1">
        <v>2.2023341E7</v>
      </c>
      <c r="D147" s="1">
        <v>62959.0</v>
      </c>
      <c r="E147" s="1">
        <v>70169.0</v>
      </c>
      <c r="F147" s="1">
        <v>327.91</v>
      </c>
      <c r="G147" s="1">
        <v>59.44</v>
      </c>
      <c r="H147" s="1">
        <v>323.0</v>
      </c>
      <c r="I147" s="1">
        <v>1.0</v>
      </c>
      <c r="J147" s="1">
        <v>1.0</v>
      </c>
      <c r="K147" s="1">
        <v>4.0</v>
      </c>
      <c r="L147" s="1" t="b">
        <v>1</v>
      </c>
      <c r="M147" s="1" t="b">
        <v>0</v>
      </c>
      <c r="N147" s="1" t="b">
        <v>0</v>
      </c>
      <c r="O147" s="1" t="b">
        <v>1</v>
      </c>
      <c r="P147" s="1" t="b">
        <v>1</v>
      </c>
      <c r="Q147" s="1" t="b">
        <v>1</v>
      </c>
      <c r="R147" s="1" t="b">
        <v>0</v>
      </c>
      <c r="S147" s="1" t="s">
        <v>51</v>
      </c>
      <c r="T147" s="1" t="s">
        <v>65</v>
      </c>
      <c r="U147" s="1" t="s">
        <v>53</v>
      </c>
      <c r="V147" s="1">
        <v>4.55</v>
      </c>
      <c r="W147" s="1">
        <v>98.0</v>
      </c>
      <c r="X147" s="1">
        <v>3.0</v>
      </c>
      <c r="Y147" s="2">
        <v>46193.0</v>
      </c>
      <c r="Z147" s="1" t="s">
        <v>54</v>
      </c>
      <c r="AA147" s="1" t="b">
        <v>0</v>
      </c>
      <c r="AB147" s="1">
        <v>185.0</v>
      </c>
      <c r="AC147" s="1" t="b">
        <v>1</v>
      </c>
      <c r="AD147" s="1">
        <v>192.0</v>
      </c>
      <c r="AE147" s="1">
        <v>71.0</v>
      </c>
      <c r="AF147" s="3">
        <v>46153.0</v>
      </c>
      <c r="AG147" s="1" t="s">
        <v>55</v>
      </c>
      <c r="AH147" s="1" t="s">
        <v>72</v>
      </c>
      <c r="AI147" s="1" t="s">
        <v>72</v>
      </c>
      <c r="AJ147" s="1" t="s">
        <v>58</v>
      </c>
      <c r="AK147" s="1">
        <v>81621.0</v>
      </c>
      <c r="AL147" s="1" t="s">
        <v>59</v>
      </c>
      <c r="AM147" s="1" t="s">
        <v>60</v>
      </c>
      <c r="AN147" s="4" t="s">
        <v>605</v>
      </c>
      <c r="AO147" s="4" t="s">
        <v>606</v>
      </c>
      <c r="AP147" s="1" t="s">
        <v>607</v>
      </c>
      <c r="AQ147" s="1">
        <v>3352068.0</v>
      </c>
      <c r="AR147" s="1">
        <v>39.36877</v>
      </c>
      <c r="AS147" s="1">
        <v>-107.06731</v>
      </c>
      <c r="AT147" s="5">
        <f t="shared" si="1"/>
        <v>41.81394958</v>
      </c>
      <c r="AU147" s="5">
        <f t="shared" si="2"/>
        <v>44185.20588</v>
      </c>
      <c r="AV147" s="5">
        <f t="shared" si="3"/>
        <v>-0.4215351718</v>
      </c>
      <c r="AW147" s="5">
        <f t="shared" si="4"/>
        <v>-0.4248886871</v>
      </c>
      <c r="AX147" s="5">
        <f t="shared" si="5"/>
        <v>-18773.79412</v>
      </c>
    </row>
    <row r="148">
      <c r="A148" s="1" t="s">
        <v>608</v>
      </c>
      <c r="B148" s="1">
        <v>5.25710487E8</v>
      </c>
      <c r="D148" s="1">
        <v>62240.0</v>
      </c>
      <c r="E148" s="1">
        <v>66754.0</v>
      </c>
      <c r="F148" s="1">
        <v>464.48</v>
      </c>
      <c r="G148" s="1">
        <v>40.0</v>
      </c>
      <c r="H148" s="1">
        <v>347.0</v>
      </c>
      <c r="K148" s="1">
        <v>8.0</v>
      </c>
      <c r="L148" s="1" t="b">
        <v>1</v>
      </c>
      <c r="M148" s="1" t="b">
        <v>0</v>
      </c>
      <c r="N148" s="1" t="b">
        <v>0</v>
      </c>
      <c r="O148" s="1" t="b">
        <v>1</v>
      </c>
      <c r="P148" s="1" t="b">
        <v>1</v>
      </c>
      <c r="Q148" s="1" t="b">
        <v>1</v>
      </c>
      <c r="R148" s="1" t="b">
        <v>0</v>
      </c>
      <c r="S148" s="1" t="s">
        <v>51</v>
      </c>
      <c r="T148" s="1" t="s">
        <v>65</v>
      </c>
      <c r="U148" s="1" t="s">
        <v>53</v>
      </c>
      <c r="V148" s="1">
        <v>4.75</v>
      </c>
      <c r="W148" s="1">
        <v>77.0</v>
      </c>
      <c r="X148" s="1">
        <v>2.0</v>
      </c>
      <c r="Y148" s="1">
        <v>1.0</v>
      </c>
      <c r="Z148" s="1" t="s">
        <v>54</v>
      </c>
      <c r="AA148" s="1" t="b">
        <v>0</v>
      </c>
      <c r="AB148" s="1">
        <v>180.0</v>
      </c>
      <c r="AC148" s="1" t="b">
        <v>1</v>
      </c>
      <c r="AD148" s="1">
        <v>134.0</v>
      </c>
      <c r="AE148" s="1">
        <v>46.0</v>
      </c>
      <c r="AF148" s="3">
        <v>46153.0</v>
      </c>
      <c r="AG148" s="1" t="s">
        <v>55</v>
      </c>
      <c r="AH148" s="1" t="s">
        <v>55</v>
      </c>
      <c r="AI148" s="1" t="s">
        <v>55</v>
      </c>
      <c r="AJ148" s="1" t="s">
        <v>58</v>
      </c>
      <c r="AK148" s="1">
        <v>81601.0</v>
      </c>
      <c r="AL148" s="1" t="s">
        <v>59</v>
      </c>
      <c r="AM148" s="1" t="s">
        <v>60</v>
      </c>
      <c r="AN148" s="4" t="s">
        <v>609</v>
      </c>
      <c r="AO148" s="4" t="s">
        <v>610</v>
      </c>
      <c r="AP148" s="1" t="s">
        <v>611</v>
      </c>
      <c r="AR148" s="1">
        <v>39.51435</v>
      </c>
      <c r="AS148" s="1">
        <v>-107.31653</v>
      </c>
      <c r="AT148" s="5">
        <f t="shared" si="1"/>
        <v>41.81394958</v>
      </c>
      <c r="AU148" s="5">
        <f t="shared" si="2"/>
        <v>44185.20588</v>
      </c>
      <c r="AV148" s="5">
        <f t="shared" si="3"/>
        <v>0.04338144562</v>
      </c>
      <c r="AW148" s="5">
        <f t="shared" si="4"/>
        <v>-0.4086162723</v>
      </c>
      <c r="AX148" s="5">
        <f t="shared" si="5"/>
        <v>-18054.79412</v>
      </c>
    </row>
    <row r="149">
      <c r="A149" s="1" t="s">
        <v>612</v>
      </c>
      <c r="B149" s="1">
        <v>2.75333058E8</v>
      </c>
      <c r="D149" s="1">
        <v>60366.0</v>
      </c>
      <c r="E149" s="1">
        <v>74733.0</v>
      </c>
      <c r="F149" s="1">
        <v>553.82</v>
      </c>
      <c r="G149" s="1">
        <v>54.77</v>
      </c>
      <c r="H149" s="1">
        <v>221.0</v>
      </c>
      <c r="I149" s="1">
        <v>3.0</v>
      </c>
      <c r="J149" s="1">
        <v>1.0</v>
      </c>
      <c r="K149" s="1">
        <v>8.0</v>
      </c>
      <c r="L149" s="1" t="b">
        <v>0</v>
      </c>
      <c r="M149" s="1" t="b">
        <v>0</v>
      </c>
      <c r="N149" s="1" t="b">
        <v>1</v>
      </c>
      <c r="O149" s="1" t="b">
        <v>1</v>
      </c>
      <c r="P149" s="1" t="b">
        <v>1</v>
      </c>
      <c r="Q149" s="1" t="b">
        <v>1</v>
      </c>
      <c r="R149" s="1" t="b">
        <v>1</v>
      </c>
      <c r="S149" s="1" t="s">
        <v>51</v>
      </c>
      <c r="T149" s="1" t="s">
        <v>65</v>
      </c>
      <c r="U149" s="1" t="s">
        <v>53</v>
      </c>
      <c r="V149" s="1">
        <v>4.95</v>
      </c>
      <c r="W149" s="1">
        <v>155.0</v>
      </c>
      <c r="X149" s="1">
        <v>2.0</v>
      </c>
      <c r="Y149" s="2">
        <v>46058.0</v>
      </c>
      <c r="Z149" s="1" t="s">
        <v>54</v>
      </c>
      <c r="AA149" s="1" t="b">
        <v>1</v>
      </c>
      <c r="AB149" s="1">
        <v>250.0</v>
      </c>
      <c r="AC149" s="1" t="b">
        <v>0</v>
      </c>
      <c r="AD149" s="1">
        <v>109.0</v>
      </c>
      <c r="AE149" s="1">
        <v>32.0</v>
      </c>
      <c r="AF149" s="3">
        <v>46153.0</v>
      </c>
      <c r="AG149" s="1" t="s">
        <v>55</v>
      </c>
      <c r="AH149" s="1" t="s">
        <v>55</v>
      </c>
      <c r="AI149" s="1" t="s">
        <v>551</v>
      </c>
      <c r="AJ149" s="1" t="s">
        <v>58</v>
      </c>
      <c r="AK149" s="1">
        <v>81637.0</v>
      </c>
      <c r="AL149" s="1" t="s">
        <v>59</v>
      </c>
      <c r="AM149" s="1" t="s">
        <v>60</v>
      </c>
      <c r="AN149" s="4" t="s">
        <v>613</v>
      </c>
      <c r="AO149" s="4" t="s">
        <v>614</v>
      </c>
      <c r="AP149" s="1">
        <v>4.1154347E7</v>
      </c>
      <c r="AQ149" s="1">
        <v>3374949.0</v>
      </c>
      <c r="AR149" s="1">
        <v>39.76073</v>
      </c>
      <c r="AS149" s="1">
        <v>-107.13304</v>
      </c>
      <c r="AT149" s="5">
        <f t="shared" si="1"/>
        <v>41.81394958</v>
      </c>
      <c r="AU149" s="5">
        <f t="shared" si="2"/>
        <v>44185.20588</v>
      </c>
      <c r="AV149" s="5">
        <f t="shared" si="3"/>
        <v>-0.3098499556</v>
      </c>
      <c r="AW149" s="5">
        <f t="shared" si="4"/>
        <v>-0.3662038864</v>
      </c>
      <c r="AX149" s="5">
        <f t="shared" si="5"/>
        <v>-16180.79412</v>
      </c>
    </row>
    <row r="150">
      <c r="A150" s="1" t="s">
        <v>615</v>
      </c>
      <c r="B150" s="1">
        <v>1.0644978E7</v>
      </c>
      <c r="D150" s="1">
        <v>59699.0</v>
      </c>
      <c r="E150" s="1">
        <v>68149.0</v>
      </c>
      <c r="F150" s="1">
        <v>282.93</v>
      </c>
      <c r="G150" s="1">
        <v>66.14</v>
      </c>
      <c r="H150" s="1">
        <v>319.0</v>
      </c>
      <c r="I150" s="1">
        <v>1.0</v>
      </c>
      <c r="J150" s="1">
        <v>1.0</v>
      </c>
      <c r="K150" s="1">
        <v>2.0</v>
      </c>
      <c r="L150" s="1" t="b">
        <v>1</v>
      </c>
      <c r="M150" s="1" t="b">
        <v>0</v>
      </c>
      <c r="N150" s="1" t="b">
        <v>0</v>
      </c>
      <c r="O150" s="1" t="b">
        <v>1</v>
      </c>
      <c r="P150" s="1" t="b">
        <v>1</v>
      </c>
      <c r="Q150" s="1" t="b">
        <v>1</v>
      </c>
      <c r="R150" s="1" t="b">
        <v>0</v>
      </c>
      <c r="S150" s="1" t="s">
        <v>51</v>
      </c>
      <c r="T150" s="1" t="s">
        <v>65</v>
      </c>
      <c r="U150" s="1" t="s">
        <v>53</v>
      </c>
      <c r="V150" s="1">
        <v>4.95</v>
      </c>
      <c r="W150" s="1">
        <v>139.0</v>
      </c>
      <c r="X150" s="1">
        <v>2.0</v>
      </c>
      <c r="Y150" s="2">
        <v>46058.0</v>
      </c>
      <c r="Z150" s="1" t="s">
        <v>54</v>
      </c>
      <c r="AA150" s="1" t="b">
        <v>1</v>
      </c>
      <c r="AB150" s="1">
        <v>24.0</v>
      </c>
      <c r="AC150" s="1" t="b">
        <v>0</v>
      </c>
      <c r="AD150" s="1">
        <v>211.0</v>
      </c>
      <c r="AE150" s="1">
        <v>59.0</v>
      </c>
      <c r="AF150" s="3">
        <v>46159.0</v>
      </c>
      <c r="AG150" s="1" t="s">
        <v>55</v>
      </c>
      <c r="AH150" s="1" t="s">
        <v>72</v>
      </c>
      <c r="AI150" s="1" t="s">
        <v>72</v>
      </c>
      <c r="AJ150" s="1" t="s">
        <v>58</v>
      </c>
      <c r="AK150" s="1">
        <v>81621.0</v>
      </c>
      <c r="AL150" s="1" t="s">
        <v>59</v>
      </c>
      <c r="AM150" s="1" t="s">
        <v>60</v>
      </c>
      <c r="AN150" s="4" t="s">
        <v>616</v>
      </c>
      <c r="AO150" s="4" t="s">
        <v>617</v>
      </c>
      <c r="AP150" s="1">
        <v>5.1850334E7</v>
      </c>
      <c r="AR150" s="1">
        <v>39.37021</v>
      </c>
      <c r="AS150" s="1">
        <v>-107.02561</v>
      </c>
      <c r="AT150" s="5">
        <f t="shared" si="1"/>
        <v>41.81394958</v>
      </c>
      <c r="AU150" s="5">
        <f t="shared" si="2"/>
        <v>44185.20588</v>
      </c>
      <c r="AV150" s="5">
        <f t="shared" si="3"/>
        <v>-0.5817687797</v>
      </c>
      <c r="AW150" s="5">
        <f t="shared" si="4"/>
        <v>-0.3511083361</v>
      </c>
      <c r="AX150" s="5">
        <f t="shared" si="5"/>
        <v>-15513.79412</v>
      </c>
    </row>
    <row r="151">
      <c r="A151" s="1" t="s">
        <v>618</v>
      </c>
      <c r="B151" s="1">
        <v>3.21813927E8</v>
      </c>
      <c r="D151" s="1">
        <v>57700.0</v>
      </c>
      <c r="E151" s="1">
        <v>63131.0</v>
      </c>
      <c r="F151" s="1">
        <v>347.59</v>
      </c>
      <c r="G151" s="1">
        <v>49.11</v>
      </c>
      <c r="H151" s="1">
        <v>338.0</v>
      </c>
      <c r="I151" s="1">
        <v>1.0</v>
      </c>
      <c r="J151" s="1">
        <v>1.0</v>
      </c>
      <c r="K151" s="1">
        <v>4.0</v>
      </c>
      <c r="L151" s="1" t="b">
        <v>1</v>
      </c>
      <c r="M151" s="1" t="b">
        <v>0</v>
      </c>
      <c r="N151" s="1" t="b">
        <v>0</v>
      </c>
      <c r="O151" s="1" t="b">
        <v>1</v>
      </c>
      <c r="P151" s="1" t="b">
        <v>1</v>
      </c>
      <c r="Q151" s="1" t="b">
        <v>1</v>
      </c>
      <c r="R151" s="1" t="b">
        <v>0</v>
      </c>
      <c r="S151" s="1" t="s">
        <v>51</v>
      </c>
      <c r="T151" s="1" t="s">
        <v>137</v>
      </c>
      <c r="U151" s="1" t="s">
        <v>53</v>
      </c>
      <c r="V151" s="1">
        <v>4.95</v>
      </c>
      <c r="W151" s="1">
        <v>209.0</v>
      </c>
      <c r="X151" s="1">
        <v>1.0</v>
      </c>
      <c r="Y151" s="2">
        <v>46058.0</v>
      </c>
      <c r="Z151" s="1" t="s">
        <v>54</v>
      </c>
      <c r="AA151" s="1" t="b">
        <v>1</v>
      </c>
      <c r="AB151" s="1">
        <v>150.0</v>
      </c>
      <c r="AC151" s="1" t="b">
        <v>0</v>
      </c>
      <c r="AD151" s="1">
        <v>166.0</v>
      </c>
      <c r="AE151" s="1">
        <v>51.0</v>
      </c>
      <c r="AF151" s="3">
        <v>46153.0</v>
      </c>
      <c r="AG151" s="1" t="s">
        <v>55</v>
      </c>
      <c r="AH151" s="1" t="s">
        <v>55</v>
      </c>
      <c r="AI151" s="1" t="s">
        <v>55</v>
      </c>
      <c r="AJ151" s="1" t="s">
        <v>58</v>
      </c>
      <c r="AK151" s="1">
        <v>81601.0</v>
      </c>
      <c r="AL151" s="1" t="s">
        <v>59</v>
      </c>
      <c r="AM151" s="1" t="s">
        <v>60</v>
      </c>
      <c r="AN151" s="4" t="s">
        <v>619</v>
      </c>
      <c r="AO151" s="4" t="s">
        <v>620</v>
      </c>
      <c r="AP151" s="1">
        <v>5.3766003E7</v>
      </c>
      <c r="AQ151" s="1">
        <v>2737012.0</v>
      </c>
      <c r="AR151" s="1">
        <v>39.4760836721</v>
      </c>
      <c r="AS151" s="1">
        <v>-107.2784375863</v>
      </c>
      <c r="AT151" s="5">
        <f t="shared" si="1"/>
        <v>41.81394958</v>
      </c>
      <c r="AU151" s="5">
        <f t="shared" si="2"/>
        <v>44185.20588</v>
      </c>
      <c r="AV151" s="5">
        <f t="shared" si="3"/>
        <v>-0.1744884301</v>
      </c>
      <c r="AW151" s="5">
        <f t="shared" si="4"/>
        <v>-0.3058669491</v>
      </c>
      <c r="AX151" s="5">
        <f t="shared" si="5"/>
        <v>-13514.79412</v>
      </c>
    </row>
    <row r="152">
      <c r="A152" s="1" t="s">
        <v>621</v>
      </c>
      <c r="B152" s="1" t="s">
        <v>190</v>
      </c>
      <c r="D152" s="1">
        <v>56782.0</v>
      </c>
      <c r="E152" s="1">
        <v>92208.0</v>
      </c>
      <c r="F152" s="1">
        <v>511.55</v>
      </c>
      <c r="G152" s="1">
        <v>47.84</v>
      </c>
      <c r="H152" s="1">
        <v>262.0</v>
      </c>
      <c r="I152" s="1">
        <v>3.0</v>
      </c>
      <c r="J152" s="1">
        <v>3.0</v>
      </c>
      <c r="K152" s="1">
        <v>8.0</v>
      </c>
      <c r="L152" s="1" t="b">
        <v>0</v>
      </c>
      <c r="M152" s="1" t="b">
        <v>0</v>
      </c>
      <c r="N152" s="1" t="b">
        <v>0</v>
      </c>
      <c r="O152" s="1" t="b">
        <v>1</v>
      </c>
      <c r="P152" s="1" t="b">
        <v>1</v>
      </c>
      <c r="Q152" s="1" t="b">
        <v>1</v>
      </c>
      <c r="R152" s="1" t="b">
        <v>0</v>
      </c>
      <c r="S152" s="1" t="s">
        <v>51</v>
      </c>
      <c r="T152" s="1" t="s">
        <v>65</v>
      </c>
      <c r="U152" s="1" t="s">
        <v>53</v>
      </c>
      <c r="V152" s="1">
        <v>4.85</v>
      </c>
      <c r="W152" s="1">
        <v>138.0</v>
      </c>
      <c r="X152" s="1">
        <v>2.0</v>
      </c>
      <c r="Y152" s="1" t="s">
        <v>71</v>
      </c>
      <c r="Z152" s="1" t="s">
        <v>54</v>
      </c>
      <c r="AA152" s="1" t="b">
        <v>1</v>
      </c>
      <c r="AB152" s="1">
        <v>294.0</v>
      </c>
      <c r="AC152" s="1" t="b">
        <v>1</v>
      </c>
      <c r="AD152" s="1">
        <v>111.0</v>
      </c>
      <c r="AE152" s="1">
        <v>28.0</v>
      </c>
      <c r="AF152" s="3">
        <v>46158.0</v>
      </c>
      <c r="AG152" s="1" t="s">
        <v>55</v>
      </c>
      <c r="AH152" s="1" t="s">
        <v>72</v>
      </c>
      <c r="AI152" s="1" t="s">
        <v>56</v>
      </c>
      <c r="AJ152" s="1" t="s">
        <v>58</v>
      </c>
      <c r="AK152" s="1">
        <v>81623.0</v>
      </c>
      <c r="AL152" s="1" t="s">
        <v>59</v>
      </c>
      <c r="AM152" s="1" t="s">
        <v>60</v>
      </c>
      <c r="AN152" s="4" t="s">
        <v>622</v>
      </c>
      <c r="AO152" s="4" t="s">
        <v>623</v>
      </c>
      <c r="AP152" s="1">
        <v>2.4965331E7</v>
      </c>
      <c r="AQ152" s="1">
        <v>1337388.0</v>
      </c>
      <c r="AR152" s="1">
        <v>39.42949</v>
      </c>
      <c r="AS152" s="1">
        <v>-107.10337</v>
      </c>
      <c r="AT152" s="5">
        <f t="shared" si="1"/>
        <v>41.81394958</v>
      </c>
      <c r="AU152" s="5">
        <f t="shared" si="2"/>
        <v>44185.20588</v>
      </c>
      <c r="AV152" s="5">
        <f t="shared" si="3"/>
        <v>-0.144115791</v>
      </c>
      <c r="AW152" s="5">
        <f t="shared" si="4"/>
        <v>-0.2850907643</v>
      </c>
      <c r="AX152" s="5">
        <f t="shared" si="5"/>
        <v>-12596.79412</v>
      </c>
    </row>
    <row r="153">
      <c r="A153" s="1" t="s">
        <v>624</v>
      </c>
      <c r="B153" s="1">
        <v>230852.0</v>
      </c>
      <c r="D153" s="1">
        <v>56777.0</v>
      </c>
      <c r="E153" s="1">
        <v>68198.0</v>
      </c>
      <c r="F153" s="1">
        <v>645.19</v>
      </c>
      <c r="G153" s="1">
        <v>39.82</v>
      </c>
      <c r="H153" s="1">
        <v>309.0</v>
      </c>
      <c r="I153" s="1">
        <v>2.0</v>
      </c>
      <c r="J153" s="1">
        <v>2.0</v>
      </c>
      <c r="K153" s="1">
        <v>6.0</v>
      </c>
      <c r="L153" s="1" t="b">
        <v>1</v>
      </c>
      <c r="M153" s="1" t="b">
        <v>0</v>
      </c>
      <c r="N153" s="1" t="b">
        <v>0</v>
      </c>
      <c r="O153" s="1" t="b">
        <v>1</v>
      </c>
      <c r="P153" s="1" t="b">
        <v>1</v>
      </c>
      <c r="Q153" s="1" t="b">
        <v>1</v>
      </c>
      <c r="R153" s="1" t="b">
        <v>0</v>
      </c>
      <c r="S153" s="1" t="s">
        <v>51</v>
      </c>
      <c r="T153" s="1" t="s">
        <v>65</v>
      </c>
      <c r="U153" s="1" t="s">
        <v>53</v>
      </c>
      <c r="V153" s="1">
        <v>4.75</v>
      </c>
      <c r="W153" s="1">
        <v>44.0</v>
      </c>
      <c r="X153" s="1">
        <v>2.0</v>
      </c>
      <c r="Y153" s="2">
        <v>46193.0</v>
      </c>
      <c r="Z153" s="1" t="s">
        <v>54</v>
      </c>
      <c r="AA153" s="1" t="b">
        <v>1</v>
      </c>
      <c r="AB153" s="1">
        <v>250.0</v>
      </c>
      <c r="AC153" s="1" t="b">
        <v>0</v>
      </c>
      <c r="AD153" s="1">
        <v>88.0</v>
      </c>
      <c r="AE153" s="1">
        <v>18.0</v>
      </c>
      <c r="AF153" s="3">
        <v>46159.0</v>
      </c>
      <c r="AG153" s="1" t="s">
        <v>55</v>
      </c>
      <c r="AH153" s="1" t="s">
        <v>72</v>
      </c>
      <c r="AI153" s="1" t="s">
        <v>72</v>
      </c>
      <c r="AJ153" s="1" t="s">
        <v>58</v>
      </c>
      <c r="AK153" s="1">
        <v>81621.0</v>
      </c>
      <c r="AL153" s="1" t="s">
        <v>59</v>
      </c>
      <c r="AM153" s="1" t="s">
        <v>60</v>
      </c>
      <c r="AN153" s="4" t="s">
        <v>625</v>
      </c>
      <c r="AO153" s="4" t="s">
        <v>626</v>
      </c>
      <c r="AP153" s="1">
        <v>1.5649942E7</v>
      </c>
      <c r="AQ153" s="1">
        <v>1429926.0</v>
      </c>
      <c r="AR153" s="1">
        <v>39.38718</v>
      </c>
      <c r="AS153" s="1">
        <v>-107.08594</v>
      </c>
      <c r="AT153" s="5">
        <f t="shared" si="1"/>
        <v>41.81394958</v>
      </c>
      <c r="AU153" s="5">
        <f t="shared" si="2"/>
        <v>44185.20588</v>
      </c>
      <c r="AV153" s="5">
        <f t="shared" si="3"/>
        <v>0.04768622911</v>
      </c>
      <c r="AW153" s="5">
        <f t="shared" si="4"/>
        <v>-0.2849776043</v>
      </c>
      <c r="AX153" s="5">
        <f t="shared" si="5"/>
        <v>-12591.79412</v>
      </c>
    </row>
    <row r="154">
      <c r="A154" s="1" t="s">
        <v>627</v>
      </c>
      <c r="B154" s="1" t="s">
        <v>98</v>
      </c>
      <c r="D154" s="1">
        <v>54813.0</v>
      </c>
      <c r="E154" s="1">
        <v>60338.0</v>
      </c>
      <c r="F154" s="1">
        <v>360.61</v>
      </c>
      <c r="G154" s="1">
        <v>56.72</v>
      </c>
      <c r="H154" s="1">
        <v>299.0</v>
      </c>
      <c r="I154" s="1">
        <v>2.0</v>
      </c>
      <c r="J154" s="1">
        <v>2.0</v>
      </c>
      <c r="K154" s="1">
        <v>6.0</v>
      </c>
      <c r="L154" s="1" t="b">
        <v>1</v>
      </c>
      <c r="M154" s="1" t="b">
        <v>1</v>
      </c>
      <c r="N154" s="1" t="b">
        <v>0</v>
      </c>
      <c r="O154" s="1" t="b">
        <v>1</v>
      </c>
      <c r="P154" s="1" t="b">
        <v>0</v>
      </c>
      <c r="Q154" s="1" t="b">
        <v>0</v>
      </c>
      <c r="R154" s="1" t="b">
        <v>0</v>
      </c>
      <c r="S154" s="1" t="s">
        <v>51</v>
      </c>
      <c r="T154" s="1" t="s">
        <v>163</v>
      </c>
      <c r="U154" s="1" t="s">
        <v>164</v>
      </c>
      <c r="V154" s="1">
        <v>4.75</v>
      </c>
      <c r="W154" s="1">
        <v>73.0</v>
      </c>
      <c r="X154" s="1">
        <v>2.0</v>
      </c>
      <c r="Y154" s="1" t="s">
        <v>71</v>
      </c>
      <c r="Z154" s="1" t="s">
        <v>54</v>
      </c>
      <c r="AA154" s="1" t="b">
        <v>1</v>
      </c>
      <c r="AB154" s="1">
        <v>265.0</v>
      </c>
      <c r="AC154" s="1" t="b">
        <v>0</v>
      </c>
      <c r="AD154" s="1">
        <v>152.0</v>
      </c>
      <c r="AE154" s="1">
        <v>30.0</v>
      </c>
      <c r="AF154" s="3">
        <v>46155.0</v>
      </c>
      <c r="AG154" s="1" t="s">
        <v>55</v>
      </c>
      <c r="AH154" s="1" t="s">
        <v>72</v>
      </c>
      <c r="AI154" s="1" t="s">
        <v>72</v>
      </c>
      <c r="AJ154" s="1" t="s">
        <v>58</v>
      </c>
      <c r="AK154" s="1">
        <v>81621.0</v>
      </c>
      <c r="AL154" s="1" t="s">
        <v>59</v>
      </c>
      <c r="AM154" s="1" t="s">
        <v>60</v>
      </c>
      <c r="AN154" s="4" t="s">
        <v>628</v>
      </c>
      <c r="AO154" s="4" t="s">
        <v>629</v>
      </c>
      <c r="AP154" s="1" t="s">
        <v>630</v>
      </c>
      <c r="AQ154" s="1">
        <v>2769806.0</v>
      </c>
      <c r="AR154" s="1">
        <v>39.38732</v>
      </c>
      <c r="AS154" s="1">
        <v>-107.08513</v>
      </c>
      <c r="AT154" s="5">
        <f t="shared" si="1"/>
        <v>41.81394958</v>
      </c>
      <c r="AU154" s="5">
        <f t="shared" si="2"/>
        <v>44185.20588</v>
      </c>
      <c r="AV154" s="5">
        <f t="shared" si="3"/>
        <v>-0.3564851101</v>
      </c>
      <c r="AW154" s="5">
        <f t="shared" si="4"/>
        <v>-0.2405283376</v>
      </c>
      <c r="AX154" s="5">
        <f t="shared" si="5"/>
        <v>-10627.79412</v>
      </c>
    </row>
    <row r="155">
      <c r="A155" s="1" t="s">
        <v>631</v>
      </c>
      <c r="B155" s="1" t="s">
        <v>201</v>
      </c>
      <c r="D155" s="1">
        <v>54370.0</v>
      </c>
      <c r="E155" s="1">
        <v>54453.0</v>
      </c>
      <c r="F155" s="1">
        <v>258.9</v>
      </c>
      <c r="G155" s="1">
        <v>57.85</v>
      </c>
      <c r="H155" s="1">
        <v>363.0</v>
      </c>
      <c r="I155" s="1">
        <v>1.0</v>
      </c>
      <c r="J155" s="1">
        <v>1.0</v>
      </c>
      <c r="K155" s="1">
        <v>4.0</v>
      </c>
      <c r="L155" s="1" t="b">
        <v>1</v>
      </c>
      <c r="M155" s="1" t="b">
        <v>0</v>
      </c>
      <c r="N155" s="1" t="b">
        <v>0</v>
      </c>
      <c r="O155" s="1" t="b">
        <v>1</v>
      </c>
      <c r="P155" s="1" t="b">
        <v>0</v>
      </c>
      <c r="Q155" s="1" t="b">
        <v>1</v>
      </c>
      <c r="R155" s="1" t="b">
        <v>0</v>
      </c>
      <c r="S155" s="1" t="s">
        <v>51</v>
      </c>
      <c r="T155" s="1" t="s">
        <v>65</v>
      </c>
      <c r="U155" s="1" t="s">
        <v>53</v>
      </c>
      <c r="V155" s="1">
        <v>4.9</v>
      </c>
      <c r="W155" s="1">
        <v>74.0</v>
      </c>
      <c r="X155" s="1">
        <v>2.0</v>
      </c>
      <c r="Y155" s="2">
        <v>46193.0</v>
      </c>
      <c r="Z155" s="1" t="s">
        <v>54</v>
      </c>
      <c r="AA155" s="1" t="b">
        <v>1</v>
      </c>
      <c r="AB155" s="1">
        <v>125.0</v>
      </c>
      <c r="AC155" s="1" t="b">
        <v>0</v>
      </c>
      <c r="AD155" s="1">
        <v>210.0</v>
      </c>
      <c r="AE155" s="1">
        <v>67.0</v>
      </c>
      <c r="AF155" s="3">
        <v>46159.0</v>
      </c>
      <c r="AG155" s="1" t="s">
        <v>55</v>
      </c>
      <c r="AH155" s="1" t="s">
        <v>55</v>
      </c>
      <c r="AI155" s="1" t="s">
        <v>55</v>
      </c>
      <c r="AJ155" s="1" t="s">
        <v>58</v>
      </c>
      <c r="AK155" s="1">
        <v>81601.0</v>
      </c>
      <c r="AL155" s="1" t="s">
        <v>59</v>
      </c>
      <c r="AM155" s="1" t="s">
        <v>60</v>
      </c>
      <c r="AN155" s="4" t="s">
        <v>632</v>
      </c>
      <c r="AO155" s="4" t="s">
        <v>633</v>
      </c>
      <c r="AP155" s="1" t="s">
        <v>634</v>
      </c>
      <c r="AQ155" s="1">
        <v>4126968.0</v>
      </c>
      <c r="AR155" s="1">
        <v>39.5481</v>
      </c>
      <c r="AS155" s="1">
        <v>-107.3212</v>
      </c>
      <c r="AT155" s="5">
        <f t="shared" si="1"/>
        <v>41.81394958</v>
      </c>
      <c r="AU155" s="5">
        <f t="shared" si="2"/>
        <v>44185.20588</v>
      </c>
      <c r="AV155" s="5">
        <f t="shared" si="3"/>
        <v>-0.3835095843</v>
      </c>
      <c r="AW155" s="5">
        <f t="shared" si="4"/>
        <v>-0.2305023574</v>
      </c>
      <c r="AX155" s="5">
        <f t="shared" si="5"/>
        <v>-10184.79412</v>
      </c>
    </row>
    <row r="156">
      <c r="A156" s="1" t="s">
        <v>635</v>
      </c>
      <c r="B156" s="1">
        <v>1.27684426E8</v>
      </c>
      <c r="D156" s="1">
        <v>53461.0</v>
      </c>
      <c r="E156" s="1">
        <v>76408.0</v>
      </c>
      <c r="F156" s="1">
        <v>607.51</v>
      </c>
      <c r="G156" s="1">
        <v>37.61</v>
      </c>
      <c r="H156" s="1">
        <v>314.0</v>
      </c>
      <c r="I156" s="1">
        <v>1.0</v>
      </c>
      <c r="J156" s="1">
        <v>1.0</v>
      </c>
      <c r="K156" s="1">
        <v>5.0</v>
      </c>
      <c r="L156" s="1" t="b">
        <v>1</v>
      </c>
      <c r="M156" s="1" t="b">
        <v>0</v>
      </c>
      <c r="N156" s="1" t="b">
        <v>0</v>
      </c>
      <c r="O156" s="1" t="b">
        <v>1</v>
      </c>
      <c r="P156" s="1" t="b">
        <v>1</v>
      </c>
      <c r="Q156" s="1" t="b">
        <v>0</v>
      </c>
      <c r="R156" s="1" t="b">
        <v>0</v>
      </c>
      <c r="S156" s="1" t="s">
        <v>51</v>
      </c>
      <c r="T156" s="1" t="s">
        <v>137</v>
      </c>
      <c r="U156" s="1" t="s">
        <v>53</v>
      </c>
      <c r="V156" s="1">
        <v>5.0</v>
      </c>
      <c r="W156" s="1">
        <v>101.0</v>
      </c>
      <c r="X156" s="1">
        <v>3.0</v>
      </c>
      <c r="Y156" s="1">
        <v>1.0</v>
      </c>
      <c r="Z156" s="1" t="s">
        <v>54</v>
      </c>
      <c r="AA156" s="1" t="b">
        <v>0</v>
      </c>
      <c r="AB156" s="1">
        <v>150.0</v>
      </c>
      <c r="AC156" s="1" t="b">
        <v>0</v>
      </c>
      <c r="AD156" s="1">
        <v>88.0</v>
      </c>
      <c r="AE156" s="1">
        <v>21.0</v>
      </c>
      <c r="AF156" s="3">
        <v>43769.0</v>
      </c>
      <c r="AG156" s="1" t="s">
        <v>55</v>
      </c>
      <c r="AH156" s="1" t="s">
        <v>72</v>
      </c>
      <c r="AI156" s="1" t="s">
        <v>72</v>
      </c>
      <c r="AJ156" s="1" t="s">
        <v>58</v>
      </c>
      <c r="AK156" s="1">
        <v>81621.0</v>
      </c>
      <c r="AL156" s="1" t="s">
        <v>59</v>
      </c>
      <c r="AM156" s="1" t="s">
        <v>60</v>
      </c>
      <c r="AN156" s="4" t="s">
        <v>636</v>
      </c>
      <c r="AO156" s="4" t="s">
        <v>637</v>
      </c>
      <c r="AP156" s="1">
        <v>1.8424609E7</v>
      </c>
      <c r="AQ156" s="1">
        <v>490970.0</v>
      </c>
      <c r="AR156" s="1">
        <v>39.3712</v>
      </c>
      <c r="AS156" s="1">
        <v>-107.02724</v>
      </c>
      <c r="AT156" s="5">
        <f t="shared" si="1"/>
        <v>41.81394958</v>
      </c>
      <c r="AU156" s="5">
        <f t="shared" si="2"/>
        <v>44185.20588</v>
      </c>
      <c r="AV156" s="5">
        <f t="shared" si="3"/>
        <v>0.1005394042</v>
      </c>
      <c r="AW156" s="5">
        <f t="shared" si="4"/>
        <v>-0.2099298607</v>
      </c>
      <c r="AX156" s="5">
        <f t="shared" si="5"/>
        <v>-9275.794118</v>
      </c>
    </row>
    <row r="157">
      <c r="A157" s="1" t="s">
        <v>638</v>
      </c>
      <c r="B157" s="1">
        <v>4.55854802E8</v>
      </c>
      <c r="D157" s="1">
        <v>50896.0</v>
      </c>
      <c r="E157" s="1">
        <v>62700.0</v>
      </c>
      <c r="F157" s="1">
        <v>820.9</v>
      </c>
      <c r="G157" s="1">
        <v>24.03</v>
      </c>
      <c r="H157" s="1">
        <v>308.0</v>
      </c>
      <c r="I157" s="1">
        <v>4.0</v>
      </c>
      <c r="J157" s="1">
        <v>3.0</v>
      </c>
      <c r="K157" s="1">
        <v>12.0</v>
      </c>
      <c r="L157" s="1" t="b">
        <v>1</v>
      </c>
      <c r="M157" s="1" t="b">
        <v>0</v>
      </c>
      <c r="N157" s="1" t="b">
        <v>1</v>
      </c>
      <c r="O157" s="1" t="b">
        <v>1</v>
      </c>
      <c r="P157" s="1" t="b">
        <v>1</v>
      </c>
      <c r="Q157" s="1" t="b">
        <v>0</v>
      </c>
      <c r="R157" s="1" t="b">
        <v>0</v>
      </c>
      <c r="S157" s="1" t="s">
        <v>51</v>
      </c>
      <c r="T157" s="1" t="s">
        <v>137</v>
      </c>
      <c r="U157" s="1" t="s">
        <v>53</v>
      </c>
      <c r="V157" s="1">
        <v>5.0</v>
      </c>
      <c r="W157" s="1">
        <v>169.0</v>
      </c>
      <c r="X157" s="1">
        <v>2.0</v>
      </c>
      <c r="Y157" s="1">
        <v>1.0</v>
      </c>
      <c r="Z157" s="1" t="s">
        <v>54</v>
      </c>
      <c r="AA157" s="1" t="b">
        <v>1</v>
      </c>
      <c r="AB157" s="1">
        <v>350.0</v>
      </c>
      <c r="AC157" s="1" t="b">
        <v>1</v>
      </c>
      <c r="AD157" s="1">
        <v>62.0</v>
      </c>
      <c r="AE157" s="1">
        <v>21.0</v>
      </c>
      <c r="AF157" s="3">
        <v>46158.0</v>
      </c>
      <c r="AG157" s="1" t="s">
        <v>55</v>
      </c>
      <c r="AH157" s="1" t="s">
        <v>55</v>
      </c>
      <c r="AI157" s="1" t="s">
        <v>55</v>
      </c>
      <c r="AJ157" s="1" t="s">
        <v>58</v>
      </c>
      <c r="AK157" s="1">
        <v>81601.0</v>
      </c>
      <c r="AL157" s="1" t="s">
        <v>59</v>
      </c>
      <c r="AM157" s="1" t="s">
        <v>60</v>
      </c>
      <c r="AN157" s="4" t="s">
        <v>639</v>
      </c>
      <c r="AO157" s="4" t="s">
        <v>640</v>
      </c>
      <c r="AP157" s="1" t="s">
        <v>641</v>
      </c>
      <c r="AQ157" s="1">
        <v>1712182.0</v>
      </c>
      <c r="AR157" s="1">
        <v>39.5163</v>
      </c>
      <c r="AS157" s="1">
        <v>-107.32434</v>
      </c>
      <c r="AT157" s="5">
        <f t="shared" si="1"/>
        <v>41.81394958</v>
      </c>
      <c r="AU157" s="5">
        <f t="shared" si="2"/>
        <v>44185.20588</v>
      </c>
      <c r="AV157" s="5">
        <f t="shared" si="3"/>
        <v>0.4253114035</v>
      </c>
      <c r="AW157" s="5">
        <f t="shared" si="4"/>
        <v>-0.1518787563</v>
      </c>
      <c r="AX157" s="5">
        <f t="shared" si="5"/>
        <v>-6710.794118</v>
      </c>
    </row>
    <row r="158">
      <c r="A158" s="1" t="s">
        <v>642</v>
      </c>
      <c r="B158" s="1">
        <v>2.6530012E7</v>
      </c>
      <c r="D158" s="1">
        <v>49877.0</v>
      </c>
      <c r="E158" s="1">
        <v>64744.0</v>
      </c>
      <c r="F158" s="1">
        <v>514.2</v>
      </c>
      <c r="G158" s="1">
        <v>51.6</v>
      </c>
      <c r="H158" s="1">
        <v>289.0</v>
      </c>
      <c r="I158" s="1">
        <v>2.0</v>
      </c>
      <c r="J158" s="1">
        <v>2.0</v>
      </c>
      <c r="K158" s="1">
        <v>6.0</v>
      </c>
      <c r="L158" s="1" t="b">
        <v>1</v>
      </c>
      <c r="M158" s="1" t="b">
        <v>1</v>
      </c>
      <c r="N158" s="1" t="b">
        <v>0</v>
      </c>
      <c r="O158" s="1" t="b">
        <v>1</v>
      </c>
      <c r="P158" s="1" t="b">
        <v>1</v>
      </c>
      <c r="Q158" s="1" t="b">
        <v>0</v>
      </c>
      <c r="R158" s="1" t="b">
        <v>0</v>
      </c>
      <c r="S158" s="1" t="s">
        <v>51</v>
      </c>
      <c r="T158" s="1" t="s">
        <v>487</v>
      </c>
      <c r="U158" s="1" t="s">
        <v>164</v>
      </c>
      <c r="V158" s="1">
        <v>4.9</v>
      </c>
      <c r="W158" s="1">
        <v>23.0</v>
      </c>
      <c r="X158" s="1">
        <v>3.0</v>
      </c>
      <c r="Y158" s="2">
        <v>46058.0</v>
      </c>
      <c r="Z158" s="1" t="s">
        <v>54</v>
      </c>
      <c r="AA158" s="1" t="b">
        <v>1</v>
      </c>
      <c r="AB158" s="1">
        <v>300.0</v>
      </c>
      <c r="AC158" s="1" t="b">
        <v>1</v>
      </c>
      <c r="AD158" s="1">
        <v>97.0</v>
      </c>
      <c r="AE158" s="1">
        <v>20.0</v>
      </c>
      <c r="AF158" s="3">
        <v>46155.0</v>
      </c>
      <c r="AG158" s="1" t="s">
        <v>55</v>
      </c>
      <c r="AH158" s="1" t="s">
        <v>72</v>
      </c>
      <c r="AI158" s="1" t="s">
        <v>72</v>
      </c>
      <c r="AJ158" s="1" t="s">
        <v>58</v>
      </c>
      <c r="AK158" s="1">
        <v>81621.0</v>
      </c>
      <c r="AL158" s="1" t="s">
        <v>59</v>
      </c>
      <c r="AM158" s="1" t="s">
        <v>60</v>
      </c>
      <c r="AN158" s="4" t="s">
        <v>643</v>
      </c>
      <c r="AO158" s="4" t="s">
        <v>644</v>
      </c>
      <c r="AP158" s="1">
        <v>1.2302216E7</v>
      </c>
      <c r="AR158" s="1">
        <v>39.38729</v>
      </c>
      <c r="AS158" s="1">
        <v>-107.08376</v>
      </c>
      <c r="AT158" s="5">
        <f t="shared" si="1"/>
        <v>41.81394958</v>
      </c>
      <c r="AU158" s="5">
        <f t="shared" si="2"/>
        <v>44185.20588</v>
      </c>
      <c r="AV158" s="5">
        <f t="shared" si="3"/>
        <v>-0.2340379352</v>
      </c>
      <c r="AW158" s="5">
        <f t="shared" si="4"/>
        <v>-0.1288167386</v>
      </c>
      <c r="AX158" s="5">
        <f t="shared" si="5"/>
        <v>-5691.794118</v>
      </c>
    </row>
    <row r="159">
      <c r="A159" s="1" t="s">
        <v>645</v>
      </c>
      <c r="B159" s="1">
        <v>5.74012436E8</v>
      </c>
      <c r="D159" s="1">
        <v>49175.0</v>
      </c>
      <c r="E159" s="1">
        <v>90465.0</v>
      </c>
      <c r="F159" s="1">
        <v>702.5</v>
      </c>
      <c r="G159" s="1">
        <v>44.59</v>
      </c>
      <c r="H159" s="1">
        <v>182.0</v>
      </c>
      <c r="I159" s="1">
        <v>3.0</v>
      </c>
      <c r="J159" s="1">
        <v>3.0</v>
      </c>
      <c r="K159" s="1">
        <v>6.0</v>
      </c>
      <c r="L159" s="1" t="b">
        <v>1</v>
      </c>
      <c r="M159" s="1" t="b">
        <v>0</v>
      </c>
      <c r="N159" s="1" t="b">
        <v>0</v>
      </c>
      <c r="O159" s="1" t="b">
        <v>1</v>
      </c>
      <c r="P159" s="1" t="b">
        <v>1</v>
      </c>
      <c r="Q159" s="1" t="b">
        <v>1</v>
      </c>
      <c r="R159" s="1" t="b">
        <v>0</v>
      </c>
      <c r="S159" s="1" t="s">
        <v>51</v>
      </c>
      <c r="T159" s="1" t="s">
        <v>65</v>
      </c>
      <c r="U159" s="1" t="s">
        <v>53</v>
      </c>
      <c r="V159" s="1">
        <v>5.0</v>
      </c>
      <c r="W159" s="1">
        <v>7.0</v>
      </c>
      <c r="X159" s="1">
        <v>3.0</v>
      </c>
      <c r="Y159" s="2">
        <v>46058.0</v>
      </c>
      <c r="Z159" s="1" t="s">
        <v>54</v>
      </c>
      <c r="AA159" s="1" t="b">
        <v>0</v>
      </c>
      <c r="AB159" s="1">
        <v>300.0</v>
      </c>
      <c r="AC159" s="1" t="b">
        <v>0</v>
      </c>
      <c r="AD159" s="1">
        <v>70.0</v>
      </c>
      <c r="AE159" s="1">
        <v>15.0</v>
      </c>
      <c r="AF159" s="3">
        <v>45993.0</v>
      </c>
      <c r="AG159" s="1" t="s">
        <v>55</v>
      </c>
      <c r="AH159" s="1" t="s">
        <v>72</v>
      </c>
      <c r="AI159" s="1" t="s">
        <v>72</v>
      </c>
      <c r="AJ159" s="1" t="s">
        <v>58</v>
      </c>
      <c r="AK159" s="1">
        <v>81621.0</v>
      </c>
      <c r="AL159" s="1" t="s">
        <v>59</v>
      </c>
      <c r="AM159" s="1" t="s">
        <v>60</v>
      </c>
      <c r="AN159" s="4" t="s">
        <v>646</v>
      </c>
      <c r="AO159" s="4" t="s">
        <v>647</v>
      </c>
      <c r="AP159" s="1" t="s">
        <v>648</v>
      </c>
      <c r="AR159" s="1">
        <v>39.37242</v>
      </c>
      <c r="AS159" s="1">
        <v>-107.067636</v>
      </c>
      <c r="AT159" s="5">
        <f t="shared" si="1"/>
        <v>41.81394958</v>
      </c>
      <c r="AU159" s="5">
        <f t="shared" si="2"/>
        <v>44185.20588</v>
      </c>
      <c r="AV159" s="5">
        <f t="shared" si="3"/>
        <v>-0.0663905335</v>
      </c>
      <c r="AW159" s="5">
        <f t="shared" si="4"/>
        <v>-0.112929068</v>
      </c>
      <c r="AX159" s="5">
        <f t="shared" si="5"/>
        <v>-4989.794118</v>
      </c>
    </row>
    <row r="160">
      <c r="A160" s="1" t="s">
        <v>649</v>
      </c>
      <c r="B160" s="1">
        <v>6.66222971E8</v>
      </c>
      <c r="D160" s="1">
        <v>48753.0</v>
      </c>
      <c r="E160" s="1">
        <v>53583.0</v>
      </c>
      <c r="F160" s="1">
        <v>304.71</v>
      </c>
      <c r="G160" s="1">
        <v>54.42</v>
      </c>
      <c r="H160" s="1">
        <v>339.0</v>
      </c>
      <c r="I160" s="1">
        <v>1.0</v>
      </c>
      <c r="J160" s="1">
        <v>1.0</v>
      </c>
      <c r="K160" s="1">
        <v>4.0</v>
      </c>
      <c r="L160" s="1" t="b">
        <v>0</v>
      </c>
      <c r="M160" s="1" t="b">
        <v>0</v>
      </c>
      <c r="N160" s="1" t="b">
        <v>0</v>
      </c>
      <c r="O160" s="1" t="b">
        <v>1</v>
      </c>
      <c r="P160" s="1" t="b">
        <v>1</v>
      </c>
      <c r="Q160" s="1" t="b">
        <v>0</v>
      </c>
      <c r="R160" s="1" t="b">
        <v>0</v>
      </c>
      <c r="S160" s="1" t="s">
        <v>51</v>
      </c>
      <c r="T160" s="1" t="s">
        <v>137</v>
      </c>
      <c r="U160" s="1" t="s">
        <v>53</v>
      </c>
      <c r="V160" s="1">
        <v>5.0</v>
      </c>
      <c r="W160" s="1">
        <v>17.0</v>
      </c>
      <c r="X160" s="1">
        <v>3.0</v>
      </c>
      <c r="Y160" s="2">
        <v>46193.0</v>
      </c>
      <c r="Z160" s="1" t="s">
        <v>54</v>
      </c>
      <c r="AA160" s="1" t="b">
        <v>1</v>
      </c>
      <c r="AB160" s="1">
        <v>0.0</v>
      </c>
      <c r="AC160" s="1" t="b">
        <v>0</v>
      </c>
      <c r="AD160" s="1">
        <v>160.0</v>
      </c>
      <c r="AE160" s="1">
        <v>36.0</v>
      </c>
      <c r="AF160" s="3">
        <v>46155.0</v>
      </c>
      <c r="AG160" s="1" t="s">
        <v>55</v>
      </c>
      <c r="AH160" s="1" t="s">
        <v>72</v>
      </c>
      <c r="AI160" s="1" t="s">
        <v>72</v>
      </c>
      <c r="AJ160" s="1" t="s">
        <v>58</v>
      </c>
      <c r="AK160" s="1">
        <v>81621.0</v>
      </c>
      <c r="AL160" s="1" t="s">
        <v>59</v>
      </c>
      <c r="AM160" s="1" t="s">
        <v>60</v>
      </c>
      <c r="AN160" s="4" t="s">
        <v>650</v>
      </c>
      <c r="AO160" s="4" t="s">
        <v>651</v>
      </c>
      <c r="AP160" s="1" t="s">
        <v>652</v>
      </c>
      <c r="AR160" s="1">
        <v>39.3689999359</v>
      </c>
      <c r="AS160" s="1">
        <v>-107.0291302573</v>
      </c>
      <c r="AT160" s="5">
        <f t="shared" si="1"/>
        <v>41.81394958</v>
      </c>
      <c r="AU160" s="5">
        <f t="shared" si="2"/>
        <v>44185.20588</v>
      </c>
      <c r="AV160" s="5">
        <f t="shared" si="3"/>
        <v>-0.3014795432</v>
      </c>
      <c r="AW160" s="5">
        <f t="shared" si="4"/>
        <v>-0.1033783599</v>
      </c>
      <c r="AX160" s="5">
        <f t="shared" si="5"/>
        <v>-4567.794118</v>
      </c>
    </row>
    <row r="161">
      <c r="A161" s="1" t="s">
        <v>653</v>
      </c>
      <c r="B161" s="1">
        <v>4.99551962E8</v>
      </c>
      <c r="D161" s="1">
        <v>48422.0</v>
      </c>
      <c r="E161" s="1">
        <v>58497.0</v>
      </c>
      <c r="F161" s="1">
        <v>484.22</v>
      </c>
      <c r="G161" s="1">
        <v>66.67</v>
      </c>
      <c r="H161" s="1">
        <v>320.0</v>
      </c>
      <c r="I161" s="1">
        <v>3.0</v>
      </c>
      <c r="J161" s="1">
        <v>3.0</v>
      </c>
      <c r="K161" s="1">
        <v>5.0</v>
      </c>
      <c r="L161" s="1" t="b">
        <v>1</v>
      </c>
      <c r="M161" s="1" t="b">
        <v>0</v>
      </c>
      <c r="N161" s="1" t="b">
        <v>0</v>
      </c>
      <c r="O161" s="1" t="b">
        <v>1</v>
      </c>
      <c r="P161" s="1" t="b">
        <v>1</v>
      </c>
      <c r="Q161" s="1" t="b">
        <v>0</v>
      </c>
      <c r="R161" s="1" t="b">
        <v>0</v>
      </c>
      <c r="S161" s="1" t="s">
        <v>51</v>
      </c>
      <c r="T161" s="1" t="s">
        <v>65</v>
      </c>
      <c r="U161" s="1" t="s">
        <v>53</v>
      </c>
      <c r="V161" s="1">
        <v>5.0</v>
      </c>
      <c r="W161" s="1">
        <v>3.0</v>
      </c>
      <c r="X161" s="1">
        <v>30.0</v>
      </c>
      <c r="Y161" s="1">
        <v>1.0</v>
      </c>
      <c r="Z161" s="1" t="s">
        <v>54</v>
      </c>
      <c r="AA161" s="1" t="b">
        <v>0</v>
      </c>
      <c r="AB161" s="1">
        <v>300.0</v>
      </c>
      <c r="AC161" s="1" t="b">
        <v>0</v>
      </c>
      <c r="AD161" s="1">
        <v>100.0</v>
      </c>
      <c r="AE161" s="1">
        <v>3.0</v>
      </c>
      <c r="AF161" s="3">
        <v>46156.0</v>
      </c>
      <c r="AG161" s="1" t="s">
        <v>55</v>
      </c>
      <c r="AH161" s="1" t="s">
        <v>72</v>
      </c>
      <c r="AI161" s="1" t="s">
        <v>72</v>
      </c>
      <c r="AJ161" s="1" t="s">
        <v>58</v>
      </c>
      <c r="AK161" s="1">
        <v>81621.0</v>
      </c>
      <c r="AL161" s="1" t="s">
        <v>59</v>
      </c>
      <c r="AM161" s="1" t="s">
        <v>60</v>
      </c>
      <c r="AN161" s="4" t="s">
        <v>654</v>
      </c>
      <c r="AO161" s="4" t="s">
        <v>655</v>
      </c>
      <c r="AP161" s="1" t="s">
        <v>656</v>
      </c>
      <c r="AQ161" s="1">
        <v>5142463.0</v>
      </c>
      <c r="AR161" s="1">
        <v>39.3817</v>
      </c>
      <c r="AS161" s="1">
        <v>-107.0845</v>
      </c>
      <c r="AT161" s="5">
        <f t="shared" si="1"/>
        <v>41.81394958</v>
      </c>
      <c r="AU161" s="5">
        <f t="shared" si="2"/>
        <v>44185.20588</v>
      </c>
      <c r="AV161" s="5">
        <f t="shared" si="3"/>
        <v>-0.5944439755</v>
      </c>
      <c r="AW161" s="5">
        <f t="shared" si="4"/>
        <v>-0.09588716479</v>
      </c>
      <c r="AX161" s="5">
        <f t="shared" si="5"/>
        <v>-4236.794118</v>
      </c>
    </row>
    <row r="162">
      <c r="A162" s="1" t="s">
        <v>657</v>
      </c>
      <c r="B162" s="1">
        <v>4.94714499E8</v>
      </c>
      <c r="D162" s="1">
        <v>46926.0</v>
      </c>
      <c r="E162" s="1">
        <v>83996.0</v>
      </c>
      <c r="F162" s="1">
        <v>711.0</v>
      </c>
      <c r="G162" s="1">
        <v>31.73</v>
      </c>
      <c r="H162" s="1">
        <v>269.0</v>
      </c>
      <c r="I162" s="1">
        <v>4.0</v>
      </c>
      <c r="J162" s="1">
        <v>3.0</v>
      </c>
      <c r="K162" s="1">
        <v>10.0</v>
      </c>
      <c r="L162" s="1" t="b">
        <v>1</v>
      </c>
      <c r="M162" s="1" t="b">
        <v>0</v>
      </c>
      <c r="N162" s="1" t="b">
        <v>0</v>
      </c>
      <c r="O162" s="1" t="b">
        <v>1</v>
      </c>
      <c r="P162" s="1" t="b">
        <v>1</v>
      </c>
      <c r="Q162" s="1" t="b">
        <v>0</v>
      </c>
      <c r="R162" s="1" t="b">
        <v>0</v>
      </c>
      <c r="S162" s="1" t="s">
        <v>51</v>
      </c>
      <c r="T162" s="1" t="s">
        <v>65</v>
      </c>
      <c r="U162" s="1" t="s">
        <v>53</v>
      </c>
      <c r="V162" s="1">
        <v>4.9</v>
      </c>
      <c r="W162" s="1">
        <v>20.0</v>
      </c>
      <c r="X162" s="1">
        <v>3.0</v>
      </c>
      <c r="Y162" s="2">
        <v>46058.0</v>
      </c>
      <c r="Z162" s="1" t="s">
        <v>54</v>
      </c>
      <c r="AA162" s="1" t="b">
        <v>0</v>
      </c>
      <c r="AB162" s="1">
        <v>375.0</v>
      </c>
      <c r="AC162" s="1" t="b">
        <v>1</v>
      </c>
      <c r="AD162" s="1">
        <v>66.0</v>
      </c>
      <c r="AE162" s="1">
        <v>14.0</v>
      </c>
      <c r="AF162" s="3">
        <v>46155.0</v>
      </c>
      <c r="AG162" s="1" t="s">
        <v>55</v>
      </c>
      <c r="AH162" s="1" t="s">
        <v>72</v>
      </c>
      <c r="AI162" s="1" t="s">
        <v>56</v>
      </c>
      <c r="AJ162" s="1" t="s">
        <v>58</v>
      </c>
      <c r="AK162" s="1">
        <v>81623.0</v>
      </c>
      <c r="AL162" s="1" t="s">
        <v>59</v>
      </c>
      <c r="AM162" s="1" t="s">
        <v>60</v>
      </c>
      <c r="AN162" s="4" t="s">
        <v>658</v>
      </c>
      <c r="AO162" s="4" t="s">
        <v>659</v>
      </c>
      <c r="AP162" s="1" t="s">
        <v>660</v>
      </c>
      <c r="AQ162" s="1">
        <v>4093440.0</v>
      </c>
      <c r="AR162" s="1">
        <v>39.42058</v>
      </c>
      <c r="AS162" s="1">
        <v>-107.08879</v>
      </c>
      <c r="AT162" s="5">
        <f t="shared" si="1"/>
        <v>41.81394958</v>
      </c>
      <c r="AU162" s="5">
        <f t="shared" si="2"/>
        <v>44185.20588</v>
      </c>
      <c r="AV162" s="5">
        <f t="shared" si="3"/>
        <v>0.2411623317</v>
      </c>
      <c r="AW162" s="5">
        <f t="shared" si="4"/>
        <v>-0.06202967855</v>
      </c>
      <c r="AX162" s="5">
        <f t="shared" si="5"/>
        <v>-2740.794118</v>
      </c>
    </row>
    <row r="163">
      <c r="A163" s="1" t="s">
        <v>661</v>
      </c>
      <c r="D163" s="1">
        <v>44454.0</v>
      </c>
      <c r="E163" s="1">
        <v>62510.0</v>
      </c>
      <c r="F163" s="1">
        <v>653.74</v>
      </c>
      <c r="G163" s="1">
        <v>33.01</v>
      </c>
      <c r="H163" s="1">
        <v>244.0</v>
      </c>
      <c r="I163" s="1">
        <v>3.0</v>
      </c>
      <c r="J163" s="1">
        <v>3.0</v>
      </c>
      <c r="K163" s="1">
        <v>6.0</v>
      </c>
      <c r="L163" s="1" t="b">
        <v>1</v>
      </c>
      <c r="M163" s="1" t="b">
        <v>1</v>
      </c>
      <c r="N163" s="1" t="b">
        <v>0</v>
      </c>
      <c r="O163" s="1" t="b">
        <v>1</v>
      </c>
      <c r="P163" s="1" t="b">
        <v>1</v>
      </c>
      <c r="Q163" s="1" t="b">
        <v>0</v>
      </c>
      <c r="R163" s="1" t="b">
        <v>0</v>
      </c>
      <c r="S163" s="1" t="s">
        <v>51</v>
      </c>
      <c r="T163" s="1" t="s">
        <v>65</v>
      </c>
      <c r="U163" s="1" t="s">
        <v>53</v>
      </c>
      <c r="V163" s="1">
        <v>5.0</v>
      </c>
      <c r="W163" s="1">
        <v>22.0</v>
      </c>
      <c r="X163" s="1">
        <v>2.0</v>
      </c>
      <c r="Y163" s="1">
        <v>1.0</v>
      </c>
      <c r="Z163" s="1" t="s">
        <v>54</v>
      </c>
      <c r="AA163" s="1" t="b">
        <v>0</v>
      </c>
      <c r="AB163" s="1">
        <v>250.0</v>
      </c>
      <c r="AC163" s="1" t="b">
        <v>1</v>
      </c>
      <c r="AD163" s="1">
        <v>68.0</v>
      </c>
      <c r="AE163" s="1">
        <v>20.0</v>
      </c>
      <c r="AF163" s="3">
        <v>46159.0</v>
      </c>
      <c r="AG163" s="1" t="s">
        <v>55</v>
      </c>
      <c r="AH163" s="1" t="s">
        <v>72</v>
      </c>
      <c r="AI163" s="1" t="s">
        <v>56</v>
      </c>
      <c r="AJ163" s="1" t="s">
        <v>58</v>
      </c>
      <c r="AK163" s="1">
        <v>81623.0</v>
      </c>
      <c r="AL163" s="1" t="s">
        <v>59</v>
      </c>
      <c r="AM163" s="1" t="s">
        <v>60</v>
      </c>
      <c r="AN163" s="4" t="s">
        <v>662</v>
      </c>
      <c r="AO163" s="4" t="s">
        <v>663</v>
      </c>
      <c r="AQ163" s="1">
        <v>3515194.0</v>
      </c>
      <c r="AR163" s="1">
        <v>39.41524</v>
      </c>
      <c r="AS163" s="1">
        <v>-107.113075</v>
      </c>
      <c r="AT163" s="5">
        <f t="shared" si="1"/>
        <v>41.81394958</v>
      </c>
      <c r="AU163" s="5">
        <f t="shared" si="2"/>
        <v>44185.20588</v>
      </c>
      <c r="AV163" s="5">
        <f t="shared" si="3"/>
        <v>0.210550538</v>
      </c>
      <c r="AW163" s="5">
        <f t="shared" si="4"/>
        <v>-0.006083351028</v>
      </c>
      <c r="AX163" s="5">
        <f t="shared" si="5"/>
        <v>-268.7941176</v>
      </c>
    </row>
    <row r="164">
      <c r="A164" s="1" t="s">
        <v>664</v>
      </c>
      <c r="B164" s="1">
        <v>3.1677081E7</v>
      </c>
      <c r="D164" s="1">
        <v>42707.0</v>
      </c>
      <c r="E164" s="1">
        <v>49403.0</v>
      </c>
      <c r="F164" s="1">
        <v>410.64</v>
      </c>
      <c r="G164" s="1">
        <v>41.43</v>
      </c>
      <c r="H164" s="1">
        <v>278.0</v>
      </c>
      <c r="I164" s="1">
        <v>2.0</v>
      </c>
      <c r="J164" s="1">
        <v>1.0</v>
      </c>
      <c r="K164" s="1">
        <v>6.0</v>
      </c>
      <c r="L164" s="1" t="b">
        <v>0</v>
      </c>
      <c r="M164" s="1" t="b">
        <v>0</v>
      </c>
      <c r="N164" s="1" t="b">
        <v>0</v>
      </c>
      <c r="O164" s="1" t="b">
        <v>1</v>
      </c>
      <c r="P164" s="1" t="b">
        <v>1</v>
      </c>
      <c r="Q164" s="1" t="b">
        <v>1</v>
      </c>
      <c r="R164" s="1" t="b">
        <v>0</v>
      </c>
      <c r="S164" s="1" t="s">
        <v>51</v>
      </c>
      <c r="T164" s="1" t="s">
        <v>65</v>
      </c>
      <c r="U164" s="1" t="s">
        <v>53</v>
      </c>
      <c r="V164" s="1">
        <v>5.0</v>
      </c>
      <c r="W164" s="1">
        <v>16.0</v>
      </c>
      <c r="X164" s="1">
        <v>2.0</v>
      </c>
      <c r="Y164" s="2">
        <v>46058.0</v>
      </c>
      <c r="Z164" s="1" t="s">
        <v>54</v>
      </c>
      <c r="AA164" s="1" t="b">
        <v>1</v>
      </c>
      <c r="AB164" s="1">
        <v>100.0</v>
      </c>
      <c r="AC164" s="1" t="b">
        <v>1</v>
      </c>
      <c r="AD164" s="1">
        <v>104.0</v>
      </c>
      <c r="AE164" s="1">
        <v>26.0</v>
      </c>
      <c r="AF164" s="3">
        <v>46156.0</v>
      </c>
      <c r="AG164" s="1" t="s">
        <v>55</v>
      </c>
      <c r="AH164" s="1" t="s">
        <v>55</v>
      </c>
      <c r="AI164" s="1" t="s">
        <v>55</v>
      </c>
      <c r="AJ164" s="1" t="s">
        <v>58</v>
      </c>
      <c r="AK164" s="1">
        <v>81601.0</v>
      </c>
      <c r="AL164" s="1" t="s">
        <v>59</v>
      </c>
      <c r="AM164" s="1" t="s">
        <v>60</v>
      </c>
      <c r="AN164" s="4" t="s">
        <v>665</v>
      </c>
      <c r="AO164" s="4" t="s">
        <v>666</v>
      </c>
      <c r="AP164" s="1" t="s">
        <v>667</v>
      </c>
      <c r="AR164" s="1">
        <v>39.4778970262</v>
      </c>
      <c r="AS164" s="1">
        <v>-107.2832882301</v>
      </c>
      <c r="AT164" s="5">
        <f t="shared" si="1"/>
        <v>41.81394958</v>
      </c>
      <c r="AU164" s="5">
        <f t="shared" si="2"/>
        <v>44185.20588</v>
      </c>
      <c r="AV164" s="5">
        <f t="shared" si="3"/>
        <v>0.0091823323</v>
      </c>
      <c r="AW164" s="5">
        <f t="shared" si="4"/>
        <v>0.0334547696</v>
      </c>
      <c r="AX164" s="5">
        <f t="shared" si="5"/>
        <v>1478.205882</v>
      </c>
    </row>
    <row r="165">
      <c r="A165" s="1" t="s">
        <v>668</v>
      </c>
      <c r="B165" s="1">
        <v>854795.0</v>
      </c>
      <c r="D165" s="1">
        <v>42298.0</v>
      </c>
      <c r="E165" s="1">
        <v>42298.0</v>
      </c>
      <c r="F165" s="1">
        <v>1409.93</v>
      </c>
      <c r="G165" s="1">
        <v>32.26</v>
      </c>
      <c r="H165" s="1">
        <v>93.0</v>
      </c>
      <c r="I165" s="1">
        <v>6.0</v>
      </c>
      <c r="J165" s="1">
        <v>3.0</v>
      </c>
      <c r="K165" s="1">
        <v>12.0</v>
      </c>
      <c r="L165" s="1" t="b">
        <v>1</v>
      </c>
      <c r="M165" s="1" t="b">
        <v>0</v>
      </c>
      <c r="N165" s="1" t="b">
        <v>0</v>
      </c>
      <c r="O165" s="1" t="b">
        <v>1</v>
      </c>
      <c r="P165" s="1" t="b">
        <v>1</v>
      </c>
      <c r="Q165" s="1" t="b">
        <v>1</v>
      </c>
      <c r="R165" s="1" t="b">
        <v>0</v>
      </c>
      <c r="S165" s="1" t="s">
        <v>51</v>
      </c>
      <c r="T165" s="1" t="s">
        <v>137</v>
      </c>
      <c r="U165" s="1" t="s">
        <v>53</v>
      </c>
      <c r="V165" s="1">
        <v>4.6</v>
      </c>
      <c r="W165" s="1">
        <v>5.0</v>
      </c>
      <c r="X165" s="1">
        <v>2.0</v>
      </c>
      <c r="Y165" s="1" t="s">
        <v>71</v>
      </c>
      <c r="Z165" s="1" t="s">
        <v>54</v>
      </c>
      <c r="AA165" s="1" t="b">
        <v>1</v>
      </c>
      <c r="AB165" s="1">
        <v>75.0</v>
      </c>
      <c r="AC165" s="1" t="b">
        <v>1</v>
      </c>
      <c r="AD165" s="1">
        <v>30.0</v>
      </c>
      <c r="AE165" s="1">
        <v>5.0</v>
      </c>
      <c r="AF165" s="3">
        <v>45716.0</v>
      </c>
      <c r="AG165" s="1" t="s">
        <v>55</v>
      </c>
      <c r="AH165" s="1" t="s">
        <v>669</v>
      </c>
      <c r="AI165" s="1" t="s">
        <v>669</v>
      </c>
      <c r="AJ165" s="1" t="s">
        <v>58</v>
      </c>
      <c r="AK165" s="1">
        <v>81652.0</v>
      </c>
      <c r="AL165" s="1" t="s">
        <v>59</v>
      </c>
      <c r="AM165" s="1" t="s">
        <v>60</v>
      </c>
      <c r="AN165" s="4" t="s">
        <v>670</v>
      </c>
      <c r="AO165" s="4" t="s">
        <v>671</v>
      </c>
      <c r="AP165" s="1">
        <v>5.2186921E7</v>
      </c>
      <c r="AR165" s="1">
        <v>39.53763</v>
      </c>
      <c r="AS165" s="1">
        <v>-107.64605</v>
      </c>
      <c r="AT165" s="5">
        <f t="shared" si="1"/>
        <v>41.81394958</v>
      </c>
      <c r="AU165" s="5">
        <f t="shared" si="2"/>
        <v>44185.20588</v>
      </c>
      <c r="AV165" s="5">
        <f t="shared" si="3"/>
        <v>0.2284871359</v>
      </c>
      <c r="AW165" s="5">
        <f t="shared" si="4"/>
        <v>0.04271126149</v>
      </c>
      <c r="AX165" s="5">
        <f t="shared" si="5"/>
        <v>1887.205882</v>
      </c>
    </row>
    <row r="166">
      <c r="A166" s="1" t="s">
        <v>672</v>
      </c>
      <c r="B166" s="1">
        <v>5.2339066E7</v>
      </c>
      <c r="D166" s="1">
        <v>41326.0</v>
      </c>
      <c r="E166" s="1">
        <v>44493.0</v>
      </c>
      <c r="F166" s="1">
        <v>303.87</v>
      </c>
      <c r="G166" s="1">
        <v>59.65</v>
      </c>
      <c r="H166" s="1">
        <v>286.0</v>
      </c>
      <c r="I166" s="1">
        <v>2.0</v>
      </c>
      <c r="J166" s="1">
        <v>2.0</v>
      </c>
      <c r="K166" s="1">
        <v>4.0</v>
      </c>
      <c r="L166" s="1" t="b">
        <v>1</v>
      </c>
      <c r="M166" s="1" t="b">
        <v>0</v>
      </c>
      <c r="N166" s="1" t="b">
        <v>1</v>
      </c>
      <c r="O166" s="1" t="b">
        <v>1</v>
      </c>
      <c r="P166" s="1" t="b">
        <v>1</v>
      </c>
      <c r="Q166" s="1" t="b">
        <v>1</v>
      </c>
      <c r="R166" s="1" t="b">
        <v>0</v>
      </c>
      <c r="S166" s="1" t="s">
        <v>51</v>
      </c>
      <c r="T166" s="1" t="s">
        <v>65</v>
      </c>
      <c r="U166" s="1" t="s">
        <v>53</v>
      </c>
      <c r="V166" s="1">
        <v>4.65</v>
      </c>
      <c r="W166" s="1">
        <v>36.0</v>
      </c>
      <c r="X166" s="1">
        <v>4.0</v>
      </c>
      <c r="Y166" s="2">
        <v>46058.0</v>
      </c>
      <c r="Z166" s="1" t="s">
        <v>54</v>
      </c>
      <c r="AA166" s="1" t="b">
        <v>1</v>
      </c>
      <c r="AB166" s="1">
        <v>150.0</v>
      </c>
      <c r="AC166" s="1" t="b">
        <v>0</v>
      </c>
      <c r="AD166" s="1">
        <v>136.0</v>
      </c>
      <c r="AE166" s="1">
        <v>16.0</v>
      </c>
      <c r="AF166" s="3">
        <v>46158.0</v>
      </c>
      <c r="AG166" s="1" t="s">
        <v>55</v>
      </c>
      <c r="AH166" s="1" t="s">
        <v>72</v>
      </c>
      <c r="AI166" s="1" t="s">
        <v>72</v>
      </c>
      <c r="AJ166" s="1" t="s">
        <v>58</v>
      </c>
      <c r="AK166" s="1">
        <v>81621.0</v>
      </c>
      <c r="AL166" s="1" t="s">
        <v>59</v>
      </c>
      <c r="AM166" s="1" t="s">
        <v>60</v>
      </c>
      <c r="AN166" s="4" t="s">
        <v>673</v>
      </c>
      <c r="AO166" s="4" t="s">
        <v>674</v>
      </c>
      <c r="AP166" s="1" t="s">
        <v>675</v>
      </c>
      <c r="AQ166" s="1">
        <v>3654061.0</v>
      </c>
      <c r="AR166" s="1">
        <v>39.38682</v>
      </c>
      <c r="AS166" s="1">
        <v>-107.08571</v>
      </c>
      <c r="AT166" s="5">
        <f t="shared" si="1"/>
        <v>41.81394958</v>
      </c>
      <c r="AU166" s="5">
        <f t="shared" si="2"/>
        <v>44185.20588</v>
      </c>
      <c r="AV166" s="5">
        <f t="shared" si="3"/>
        <v>-0.4265574192</v>
      </c>
      <c r="AW166" s="5">
        <f t="shared" si="4"/>
        <v>0.06470957474</v>
      </c>
      <c r="AX166" s="5">
        <f t="shared" si="5"/>
        <v>2859.205882</v>
      </c>
    </row>
    <row r="167">
      <c r="A167" s="1" t="s">
        <v>676</v>
      </c>
      <c r="B167" s="1">
        <v>2.11204626E8</v>
      </c>
      <c r="D167" s="1">
        <v>40387.0</v>
      </c>
      <c r="E167" s="1">
        <v>42065.0</v>
      </c>
      <c r="F167" s="1">
        <v>776.67</v>
      </c>
      <c r="G167" s="1">
        <v>49.52</v>
      </c>
      <c r="H167" s="1">
        <v>112.0</v>
      </c>
      <c r="I167" s="1">
        <v>4.0</v>
      </c>
      <c r="J167" s="1">
        <v>3.0</v>
      </c>
      <c r="K167" s="1">
        <v>12.0</v>
      </c>
      <c r="L167" s="1" t="b">
        <v>0</v>
      </c>
      <c r="M167" s="1" t="b">
        <v>0</v>
      </c>
      <c r="N167" s="1" t="b">
        <v>0</v>
      </c>
      <c r="O167" s="1" t="b">
        <v>0</v>
      </c>
      <c r="P167" s="1" t="b">
        <v>1</v>
      </c>
      <c r="Q167" s="1" t="b">
        <v>0</v>
      </c>
      <c r="R167" s="1" t="b">
        <v>0</v>
      </c>
      <c r="S167" s="1" t="s">
        <v>51</v>
      </c>
      <c r="T167" s="1" t="s">
        <v>65</v>
      </c>
      <c r="U167" s="1" t="s">
        <v>53</v>
      </c>
      <c r="V167" s="1">
        <v>5.0</v>
      </c>
      <c r="W167" s="1">
        <v>5.0</v>
      </c>
      <c r="X167" s="1">
        <v>3.0</v>
      </c>
      <c r="Y167" s="1">
        <v>1.0</v>
      </c>
      <c r="Z167" s="1" t="s">
        <v>54</v>
      </c>
      <c r="AA167" s="1" t="b">
        <v>0</v>
      </c>
      <c r="AB167" s="1">
        <v>250.0</v>
      </c>
      <c r="AC167" s="1" t="b">
        <v>0</v>
      </c>
      <c r="AD167" s="1">
        <v>52.0</v>
      </c>
      <c r="AE167" s="1">
        <v>11.0</v>
      </c>
      <c r="AF167" s="3">
        <v>46159.0</v>
      </c>
      <c r="AG167" s="1" t="s">
        <v>55</v>
      </c>
      <c r="AH167" s="1" t="s">
        <v>72</v>
      </c>
      <c r="AI167" s="1" t="s">
        <v>56</v>
      </c>
      <c r="AJ167" s="1" t="s">
        <v>58</v>
      </c>
      <c r="AK167" s="1">
        <v>81623.0</v>
      </c>
      <c r="AL167" s="1" t="s">
        <v>59</v>
      </c>
      <c r="AM167" s="1" t="s">
        <v>60</v>
      </c>
      <c r="AN167" s="4" t="s">
        <v>677</v>
      </c>
      <c r="AO167" s="4" t="s">
        <v>678</v>
      </c>
      <c r="AP167" s="1" t="s">
        <v>679</v>
      </c>
      <c r="AQ167" s="1">
        <v>4949232.0</v>
      </c>
      <c r="AR167" s="1">
        <v>39.40302</v>
      </c>
      <c r="AS167" s="1">
        <v>-107.09874</v>
      </c>
      <c r="AT167" s="5">
        <f t="shared" si="1"/>
        <v>41.81394958</v>
      </c>
      <c r="AU167" s="5">
        <f t="shared" si="2"/>
        <v>44185.20588</v>
      </c>
      <c r="AV167" s="5">
        <f t="shared" si="3"/>
        <v>-0.1842937703</v>
      </c>
      <c r="AW167" s="5">
        <f t="shared" si="4"/>
        <v>0.08596103167</v>
      </c>
      <c r="AX167" s="5">
        <f t="shared" si="5"/>
        <v>3798.205882</v>
      </c>
    </row>
    <row r="168">
      <c r="A168" s="1" t="s">
        <v>680</v>
      </c>
      <c r="B168" s="1">
        <v>4.6624535E8</v>
      </c>
      <c r="D168" s="1">
        <v>40335.0</v>
      </c>
      <c r="E168" s="1">
        <v>44190.0</v>
      </c>
      <c r="F168" s="1">
        <v>176.91</v>
      </c>
      <c r="G168" s="1">
        <v>71.47</v>
      </c>
      <c r="H168" s="1">
        <v>339.0</v>
      </c>
      <c r="I168" s="1">
        <v>1.0</v>
      </c>
      <c r="J168" s="1">
        <v>1.0</v>
      </c>
      <c r="K168" s="1">
        <v>2.0</v>
      </c>
      <c r="L168" s="1" t="b">
        <v>1</v>
      </c>
      <c r="M168" s="1" t="b">
        <v>1</v>
      </c>
      <c r="N168" s="1" t="b">
        <v>0</v>
      </c>
      <c r="O168" s="1" t="b">
        <v>1</v>
      </c>
      <c r="P168" s="1" t="b">
        <v>1</v>
      </c>
      <c r="Q168" s="1" t="b">
        <v>1</v>
      </c>
      <c r="R168" s="1" t="b">
        <v>0</v>
      </c>
      <c r="S168" s="1" t="s">
        <v>51</v>
      </c>
      <c r="T168" s="1" t="s">
        <v>487</v>
      </c>
      <c r="U168" s="1" t="s">
        <v>164</v>
      </c>
      <c r="V168" s="1">
        <v>5.0</v>
      </c>
      <c r="W168" s="1">
        <v>4.0</v>
      </c>
      <c r="X168" s="1">
        <v>28.0</v>
      </c>
      <c r="Y168" s="1">
        <v>1.0</v>
      </c>
      <c r="Z168" s="1" t="s">
        <v>54</v>
      </c>
      <c r="AA168" s="1" t="b">
        <v>1</v>
      </c>
      <c r="AB168" s="1">
        <v>151.0</v>
      </c>
      <c r="AC168" s="1" t="b">
        <v>1</v>
      </c>
      <c r="AD168" s="1">
        <v>228.0</v>
      </c>
      <c r="AE168" s="1">
        <v>9.0</v>
      </c>
      <c r="AF168" s="3">
        <v>46157.0</v>
      </c>
      <c r="AG168" s="1" t="s">
        <v>55</v>
      </c>
      <c r="AH168" s="1" t="s">
        <v>72</v>
      </c>
      <c r="AI168" s="1" t="s">
        <v>72</v>
      </c>
      <c r="AJ168" s="1" t="s">
        <v>58</v>
      </c>
      <c r="AK168" s="1">
        <v>81621.0</v>
      </c>
      <c r="AL168" s="1" t="s">
        <v>59</v>
      </c>
      <c r="AM168" s="1" t="s">
        <v>60</v>
      </c>
      <c r="AN168" s="4" t="s">
        <v>681</v>
      </c>
      <c r="AO168" s="4" t="s">
        <v>682</v>
      </c>
      <c r="AP168" s="1" t="s">
        <v>683</v>
      </c>
      <c r="AR168" s="1">
        <v>39.38565</v>
      </c>
      <c r="AS168" s="1">
        <v>-107.08326</v>
      </c>
      <c r="AT168" s="5">
        <f t="shared" si="1"/>
        <v>41.81394958</v>
      </c>
      <c r="AU168" s="5">
        <f t="shared" si="2"/>
        <v>44185.20588</v>
      </c>
      <c r="AV168" s="5">
        <f t="shared" si="3"/>
        <v>-0.709238202</v>
      </c>
      <c r="AW168" s="5">
        <f t="shared" si="4"/>
        <v>0.08713789617</v>
      </c>
      <c r="AX168" s="5">
        <f t="shared" si="5"/>
        <v>3850.205882</v>
      </c>
    </row>
    <row r="169">
      <c r="A169" s="1" t="s">
        <v>684</v>
      </c>
      <c r="B169" s="1" t="s">
        <v>685</v>
      </c>
      <c r="D169" s="1">
        <v>40135.0</v>
      </c>
      <c r="E169" s="1">
        <v>41956.0</v>
      </c>
      <c r="F169" s="1">
        <v>337.27</v>
      </c>
      <c r="G169" s="1">
        <v>35.42</v>
      </c>
      <c r="H169" s="1">
        <v>343.0</v>
      </c>
      <c r="I169" s="1">
        <v>2.0</v>
      </c>
      <c r="J169" s="1">
        <v>2.0</v>
      </c>
      <c r="K169" s="1">
        <v>6.0</v>
      </c>
      <c r="L169" s="1" t="b">
        <v>1</v>
      </c>
      <c r="M169" s="1" t="b">
        <v>0</v>
      </c>
      <c r="N169" s="1" t="b">
        <v>0</v>
      </c>
      <c r="O169" s="1" t="b">
        <v>1</v>
      </c>
      <c r="P169" s="1" t="b">
        <v>1</v>
      </c>
      <c r="Q169" s="1" t="b">
        <v>0</v>
      </c>
      <c r="R169" s="1" t="b">
        <v>0</v>
      </c>
      <c r="S169" s="1" t="s">
        <v>51</v>
      </c>
      <c r="T169" s="1" t="s">
        <v>65</v>
      </c>
      <c r="U169" s="1" t="s">
        <v>53</v>
      </c>
      <c r="V169" s="1">
        <v>4.8</v>
      </c>
      <c r="W169" s="1">
        <v>600.0</v>
      </c>
      <c r="X169" s="1">
        <v>2.0</v>
      </c>
      <c r="Y169" s="1" t="s">
        <v>71</v>
      </c>
      <c r="Z169" s="1" t="s">
        <v>54</v>
      </c>
      <c r="AA169" s="1" t="b">
        <v>1</v>
      </c>
      <c r="AB169" s="1">
        <v>49.0</v>
      </c>
      <c r="AC169" s="1" t="b">
        <v>1</v>
      </c>
      <c r="AD169" s="1">
        <v>119.0</v>
      </c>
      <c r="AE169" s="1">
        <v>44.0</v>
      </c>
      <c r="AF169" s="3">
        <v>46155.0</v>
      </c>
      <c r="AG169" s="1" t="s">
        <v>55</v>
      </c>
      <c r="AH169" s="1" t="s">
        <v>55</v>
      </c>
      <c r="AI169" s="1" t="s">
        <v>55</v>
      </c>
      <c r="AJ169" s="1" t="s">
        <v>58</v>
      </c>
      <c r="AK169" s="1">
        <v>81601.0</v>
      </c>
      <c r="AL169" s="1" t="s">
        <v>59</v>
      </c>
      <c r="AM169" s="1" t="s">
        <v>60</v>
      </c>
      <c r="AN169" s="4" t="s">
        <v>686</v>
      </c>
      <c r="AO169" s="4" t="s">
        <v>687</v>
      </c>
      <c r="AP169" s="1">
        <v>2.0859098E7</v>
      </c>
      <c r="AQ169" s="1">
        <v>3192250.0</v>
      </c>
      <c r="AR169" s="1">
        <v>39.5505</v>
      </c>
      <c r="AS169" s="1">
        <v>-107.3248</v>
      </c>
      <c r="AT169" s="5">
        <f t="shared" si="1"/>
        <v>41.81394958</v>
      </c>
      <c r="AU169" s="5">
        <f t="shared" si="2"/>
        <v>44185.20588</v>
      </c>
      <c r="AV169" s="5">
        <f t="shared" si="3"/>
        <v>0.1529142701</v>
      </c>
      <c r="AW169" s="5">
        <f t="shared" si="4"/>
        <v>0.09166429807</v>
      </c>
      <c r="AX169" s="5">
        <f t="shared" si="5"/>
        <v>4050.205882</v>
      </c>
    </row>
    <row r="170">
      <c r="A170" s="1" t="s">
        <v>688</v>
      </c>
      <c r="D170" s="1">
        <v>38770.0</v>
      </c>
      <c r="E170" s="1">
        <v>42259.0</v>
      </c>
      <c r="F170" s="1">
        <v>731.51</v>
      </c>
      <c r="G170" s="1">
        <v>30.64</v>
      </c>
      <c r="H170" s="1">
        <v>349.0</v>
      </c>
      <c r="I170" s="1">
        <v>3.0</v>
      </c>
      <c r="J170" s="1">
        <v>3.0</v>
      </c>
      <c r="K170" s="1">
        <v>10.0</v>
      </c>
      <c r="L170" s="1" t="b">
        <v>1</v>
      </c>
      <c r="M170" s="1" t="b">
        <v>0</v>
      </c>
      <c r="N170" s="1" t="b">
        <v>0</v>
      </c>
      <c r="O170" s="1" t="b">
        <v>1</v>
      </c>
      <c r="P170" s="1" t="b">
        <v>1</v>
      </c>
      <c r="Q170" s="1" t="b">
        <v>1</v>
      </c>
      <c r="R170" s="1" t="b">
        <v>0</v>
      </c>
      <c r="S170" s="1" t="s">
        <v>51</v>
      </c>
      <c r="T170" s="1" t="s">
        <v>65</v>
      </c>
      <c r="U170" s="1" t="s">
        <v>53</v>
      </c>
      <c r="V170" s="1">
        <v>5.0</v>
      </c>
      <c r="W170" s="1">
        <v>6.0</v>
      </c>
      <c r="X170" s="1">
        <v>4.0</v>
      </c>
      <c r="Y170" s="1">
        <v>1.0</v>
      </c>
      <c r="Z170" s="1" t="s">
        <v>54</v>
      </c>
      <c r="AA170" s="1" t="b">
        <v>0</v>
      </c>
      <c r="AB170" s="1">
        <v>400.0</v>
      </c>
      <c r="AC170" s="1" t="b">
        <v>1</v>
      </c>
      <c r="AD170" s="1">
        <v>53.0</v>
      </c>
      <c r="AE170" s="1">
        <v>8.0</v>
      </c>
      <c r="AF170" s="3">
        <v>46156.0</v>
      </c>
      <c r="AG170" s="1" t="s">
        <v>55</v>
      </c>
      <c r="AH170" s="1" t="s">
        <v>72</v>
      </c>
      <c r="AI170" s="1" t="s">
        <v>56</v>
      </c>
      <c r="AJ170" s="1" t="s">
        <v>58</v>
      </c>
      <c r="AK170" s="1">
        <v>81623.0</v>
      </c>
      <c r="AL170" s="1" t="s">
        <v>59</v>
      </c>
      <c r="AM170" s="1" t="s">
        <v>60</v>
      </c>
      <c r="AN170" s="4" t="s">
        <v>689</v>
      </c>
      <c r="AO170" s="4" t="s">
        <v>690</v>
      </c>
      <c r="AQ170" s="1">
        <v>3323495.0</v>
      </c>
      <c r="AR170" s="1">
        <v>39.391263</v>
      </c>
      <c r="AS170" s="1">
        <v>-107.086352</v>
      </c>
      <c r="AT170" s="5">
        <f t="shared" si="1"/>
        <v>41.81394958</v>
      </c>
      <c r="AU170" s="5">
        <f t="shared" si="2"/>
        <v>44185.20588</v>
      </c>
      <c r="AV170" s="5">
        <f t="shared" si="3"/>
        <v>0.2672301873</v>
      </c>
      <c r="AW170" s="5">
        <f t="shared" si="4"/>
        <v>0.1225569911</v>
      </c>
      <c r="AX170" s="5">
        <f t="shared" si="5"/>
        <v>5415.205882</v>
      </c>
    </row>
    <row r="171">
      <c r="A171" s="1" t="s">
        <v>691</v>
      </c>
      <c r="B171" s="1">
        <v>2.3896898E7</v>
      </c>
      <c r="D171" s="1">
        <v>37974.0</v>
      </c>
      <c r="E171" s="1">
        <v>58749.0</v>
      </c>
      <c r="F171" s="1">
        <v>212.15</v>
      </c>
      <c r="G171" s="1">
        <v>95.21</v>
      </c>
      <c r="H171" s="1">
        <v>253.0</v>
      </c>
      <c r="I171" s="1">
        <v>3.0</v>
      </c>
      <c r="J171" s="1">
        <v>2.0</v>
      </c>
      <c r="K171" s="1">
        <v>8.0</v>
      </c>
      <c r="L171" s="1" t="b">
        <v>1</v>
      </c>
      <c r="M171" s="1" t="b">
        <v>0</v>
      </c>
      <c r="N171" s="1" t="b">
        <v>0</v>
      </c>
      <c r="O171" s="1" t="b">
        <v>1</v>
      </c>
      <c r="P171" s="1" t="b">
        <v>1</v>
      </c>
      <c r="Q171" s="1" t="b">
        <v>0</v>
      </c>
      <c r="R171" s="1" t="b">
        <v>0</v>
      </c>
      <c r="S171" s="1" t="s">
        <v>51</v>
      </c>
      <c r="T171" s="1" t="s">
        <v>65</v>
      </c>
      <c r="U171" s="1" t="s">
        <v>53</v>
      </c>
      <c r="V171" s="1">
        <v>0.0</v>
      </c>
      <c r="W171" s="1">
        <v>0.0</v>
      </c>
      <c r="X171" s="1">
        <v>6.0</v>
      </c>
      <c r="Y171" s="2">
        <v>46058.0</v>
      </c>
      <c r="Z171" s="1" t="s">
        <v>54</v>
      </c>
      <c r="AA171" s="1" t="b">
        <v>0</v>
      </c>
      <c r="AB171" s="1">
        <v>100.0</v>
      </c>
      <c r="AC171" s="1" t="b">
        <v>0</v>
      </c>
      <c r="AD171" s="1">
        <v>179.0</v>
      </c>
      <c r="AE171" s="1">
        <v>3.0</v>
      </c>
      <c r="AF171" s="3">
        <v>46156.0</v>
      </c>
      <c r="AG171" s="1" t="s">
        <v>55</v>
      </c>
      <c r="AH171" s="1" t="s">
        <v>55</v>
      </c>
      <c r="AI171" s="1" t="s">
        <v>55</v>
      </c>
      <c r="AJ171" s="1" t="s">
        <v>58</v>
      </c>
      <c r="AK171" s="1">
        <v>81601.0</v>
      </c>
      <c r="AL171" s="1" t="s">
        <v>59</v>
      </c>
      <c r="AM171" s="1" t="s">
        <v>60</v>
      </c>
      <c r="AN171" s="4" t="s">
        <v>692</v>
      </c>
      <c r="AO171" s="4" t="s">
        <v>693</v>
      </c>
      <c r="AP171" s="1" t="s">
        <v>694</v>
      </c>
      <c r="AR171" s="1">
        <v>39.4556</v>
      </c>
      <c r="AS171" s="1">
        <v>-107.3075</v>
      </c>
      <c r="AT171" s="5">
        <f t="shared" si="1"/>
        <v>41.81394958</v>
      </c>
      <c r="AU171" s="5">
        <f t="shared" si="2"/>
        <v>44185.20588</v>
      </c>
      <c r="AV171" s="5">
        <f t="shared" si="3"/>
        <v>-1.276991314</v>
      </c>
      <c r="AW171" s="5">
        <f t="shared" si="4"/>
        <v>0.1405720706</v>
      </c>
      <c r="AX171" s="5">
        <f t="shared" si="5"/>
        <v>6211.205882</v>
      </c>
    </row>
    <row r="172">
      <c r="A172" s="1" t="s">
        <v>695</v>
      </c>
      <c r="B172" s="1">
        <v>2.6207828E7</v>
      </c>
      <c r="D172" s="1">
        <v>36679.0</v>
      </c>
      <c r="E172" s="1">
        <v>40640.0</v>
      </c>
      <c r="F172" s="1">
        <v>719.2</v>
      </c>
      <c r="G172" s="1">
        <v>53.12</v>
      </c>
      <c r="H172" s="1">
        <v>142.0</v>
      </c>
      <c r="I172" s="1">
        <v>3.0</v>
      </c>
      <c r="J172" s="1">
        <v>3.0</v>
      </c>
      <c r="K172" s="1">
        <v>8.0</v>
      </c>
      <c r="L172" s="1" t="b">
        <v>0</v>
      </c>
      <c r="M172" s="1" t="b">
        <v>0</v>
      </c>
      <c r="N172" s="1" t="b">
        <v>1</v>
      </c>
      <c r="O172" s="1" t="b">
        <v>1</v>
      </c>
      <c r="P172" s="1" t="b">
        <v>1</v>
      </c>
      <c r="Q172" s="1" t="b">
        <v>1</v>
      </c>
      <c r="R172" s="1" t="b">
        <v>0</v>
      </c>
      <c r="S172" s="1" t="s">
        <v>51</v>
      </c>
      <c r="T172" s="1" t="s">
        <v>65</v>
      </c>
      <c r="U172" s="1" t="s">
        <v>53</v>
      </c>
      <c r="V172" s="1">
        <v>4.9</v>
      </c>
      <c r="W172" s="1">
        <v>10.0</v>
      </c>
      <c r="X172" s="1">
        <v>2.0</v>
      </c>
      <c r="Y172" s="1">
        <v>1.0</v>
      </c>
      <c r="Z172" s="1" t="s">
        <v>54</v>
      </c>
      <c r="AA172" s="1" t="b">
        <v>1</v>
      </c>
      <c r="AB172" s="1">
        <v>374.0</v>
      </c>
      <c r="AC172" s="1" t="b">
        <v>0</v>
      </c>
      <c r="AD172" s="1">
        <v>51.0</v>
      </c>
      <c r="AE172" s="1">
        <v>16.0</v>
      </c>
      <c r="AF172" s="3">
        <v>46155.0</v>
      </c>
      <c r="AG172" s="1" t="s">
        <v>55</v>
      </c>
      <c r="AH172" s="1" t="s">
        <v>72</v>
      </c>
      <c r="AI172" s="1" t="s">
        <v>72</v>
      </c>
      <c r="AJ172" s="1" t="s">
        <v>58</v>
      </c>
      <c r="AK172" s="1">
        <v>81621.0</v>
      </c>
      <c r="AL172" s="1" t="s">
        <v>59</v>
      </c>
      <c r="AM172" s="1" t="s">
        <v>60</v>
      </c>
      <c r="AN172" s="4" t="s">
        <v>696</v>
      </c>
      <c r="AO172" s="4" t="s">
        <v>697</v>
      </c>
      <c r="AP172" s="1" t="s">
        <v>698</v>
      </c>
      <c r="AR172" s="1">
        <v>39.3776</v>
      </c>
      <c r="AS172" s="1">
        <v>-107.10221</v>
      </c>
      <c r="AT172" s="5">
        <f t="shared" si="1"/>
        <v>41.81394958</v>
      </c>
      <c r="AU172" s="5">
        <f t="shared" si="2"/>
        <v>44185.20588</v>
      </c>
      <c r="AV172" s="5">
        <f t="shared" si="3"/>
        <v>-0.2703894402</v>
      </c>
      <c r="AW172" s="5">
        <f t="shared" si="4"/>
        <v>0.169880523</v>
      </c>
      <c r="AX172" s="5">
        <f t="shared" si="5"/>
        <v>7506.205882</v>
      </c>
    </row>
    <row r="173">
      <c r="A173" s="1" t="s">
        <v>699</v>
      </c>
      <c r="D173" s="1">
        <v>36508.0</v>
      </c>
      <c r="E173" s="1">
        <v>91320.0</v>
      </c>
      <c r="F173" s="1">
        <v>793.65</v>
      </c>
      <c r="G173" s="1">
        <v>61.33</v>
      </c>
      <c r="H173" s="1">
        <v>175.0</v>
      </c>
      <c r="I173" s="1">
        <v>3.0</v>
      </c>
      <c r="J173" s="1">
        <v>2.0</v>
      </c>
      <c r="K173" s="1">
        <v>6.0</v>
      </c>
      <c r="L173" s="1" t="b">
        <v>1</v>
      </c>
      <c r="M173" s="1" t="b">
        <v>0</v>
      </c>
      <c r="N173" s="1" t="b">
        <v>0</v>
      </c>
      <c r="O173" s="1" t="b">
        <v>1</v>
      </c>
      <c r="P173" s="1" t="b">
        <v>1</v>
      </c>
      <c r="Q173" s="1" t="b">
        <v>0</v>
      </c>
      <c r="R173" s="1" t="b">
        <v>0</v>
      </c>
      <c r="S173" s="1" t="s">
        <v>51</v>
      </c>
      <c r="T173" s="1" t="s">
        <v>65</v>
      </c>
      <c r="U173" s="1" t="s">
        <v>53</v>
      </c>
      <c r="V173" s="1">
        <v>5.0</v>
      </c>
      <c r="W173" s="1">
        <v>11.0</v>
      </c>
      <c r="X173" s="1">
        <v>5.0</v>
      </c>
      <c r="Y173" s="1">
        <v>1.0</v>
      </c>
      <c r="Z173" s="1" t="s">
        <v>54</v>
      </c>
      <c r="AA173" s="1" t="b">
        <v>0</v>
      </c>
      <c r="AB173" s="1">
        <v>250.0</v>
      </c>
      <c r="AC173" s="1" t="b">
        <v>0</v>
      </c>
      <c r="AD173" s="1">
        <v>46.0</v>
      </c>
      <c r="AE173" s="1">
        <v>6.0</v>
      </c>
      <c r="AF173" s="3">
        <v>46158.0</v>
      </c>
      <c r="AG173" s="1" t="s">
        <v>55</v>
      </c>
      <c r="AH173" s="1" t="s">
        <v>72</v>
      </c>
      <c r="AI173" s="1" t="s">
        <v>72</v>
      </c>
      <c r="AJ173" s="1" t="s">
        <v>58</v>
      </c>
      <c r="AK173" s="1">
        <v>81621.0</v>
      </c>
      <c r="AL173" s="1" t="s">
        <v>59</v>
      </c>
      <c r="AM173" s="1" t="s">
        <v>60</v>
      </c>
      <c r="AN173" s="4" t="s">
        <v>700</v>
      </c>
      <c r="AO173" s="4" t="s">
        <v>701</v>
      </c>
      <c r="AQ173" s="1">
        <v>2709038.0</v>
      </c>
      <c r="AR173" s="1">
        <v>39.370123</v>
      </c>
      <c r="AS173" s="1">
        <v>-107.03422</v>
      </c>
      <c r="AT173" s="5">
        <f t="shared" si="1"/>
        <v>41.81394958</v>
      </c>
      <c r="AU173" s="5">
        <f t="shared" si="2"/>
        <v>44185.20588</v>
      </c>
      <c r="AV173" s="5">
        <f t="shared" si="3"/>
        <v>-0.4667353985</v>
      </c>
      <c r="AW173" s="5">
        <f t="shared" si="4"/>
        <v>0.1737505966</v>
      </c>
      <c r="AX173" s="5">
        <f t="shared" si="5"/>
        <v>7677.205882</v>
      </c>
    </row>
    <row r="174">
      <c r="A174" s="1" t="s">
        <v>702</v>
      </c>
      <c r="B174" s="1" t="s">
        <v>456</v>
      </c>
      <c r="D174" s="1">
        <v>35049.0</v>
      </c>
      <c r="E174" s="1">
        <v>72510.0</v>
      </c>
      <c r="F174" s="1">
        <v>745.72</v>
      </c>
      <c r="G174" s="1">
        <v>52.81</v>
      </c>
      <c r="H174" s="1">
        <v>288.0</v>
      </c>
      <c r="I174" s="1">
        <v>4.0</v>
      </c>
      <c r="J174" s="1">
        <v>3.0</v>
      </c>
      <c r="K174" s="1">
        <v>7.0</v>
      </c>
      <c r="L174" s="1" t="b">
        <v>1</v>
      </c>
      <c r="M174" s="1" t="b">
        <v>0</v>
      </c>
      <c r="N174" s="1" t="b">
        <v>1</v>
      </c>
      <c r="O174" s="1" t="b">
        <v>1</v>
      </c>
      <c r="P174" s="1" t="b">
        <v>1</v>
      </c>
      <c r="Q174" s="1" t="b">
        <v>0</v>
      </c>
      <c r="R174" s="1" t="b">
        <v>0</v>
      </c>
      <c r="S174" s="1" t="s">
        <v>51</v>
      </c>
      <c r="T174" s="1" t="s">
        <v>65</v>
      </c>
      <c r="U174" s="1" t="s">
        <v>53</v>
      </c>
      <c r="V174" s="1">
        <v>0.0</v>
      </c>
      <c r="W174" s="1">
        <v>0.0</v>
      </c>
      <c r="X174" s="1">
        <v>5.0</v>
      </c>
      <c r="Y174" s="1" t="s">
        <v>71</v>
      </c>
      <c r="Z174" s="1" t="s">
        <v>54</v>
      </c>
      <c r="AA174" s="1" t="b">
        <v>0</v>
      </c>
      <c r="AB174" s="1">
        <v>499.0</v>
      </c>
      <c r="AC174" s="1" t="b">
        <v>0</v>
      </c>
      <c r="AD174" s="1">
        <v>47.0</v>
      </c>
      <c r="AE174" s="1">
        <v>3.0</v>
      </c>
      <c r="AF174" s="3">
        <v>46156.0</v>
      </c>
      <c r="AG174" s="1" t="s">
        <v>55</v>
      </c>
      <c r="AH174" s="1" t="s">
        <v>72</v>
      </c>
      <c r="AI174" s="1" t="s">
        <v>72</v>
      </c>
      <c r="AJ174" s="1" t="s">
        <v>58</v>
      </c>
      <c r="AK174" s="1">
        <v>81621.0</v>
      </c>
      <c r="AL174" s="1" t="s">
        <v>59</v>
      </c>
      <c r="AM174" s="1" t="s">
        <v>60</v>
      </c>
      <c r="AN174" s="4" t="s">
        <v>703</v>
      </c>
      <c r="AO174" s="4" t="s">
        <v>704</v>
      </c>
      <c r="AP174" s="1" t="s">
        <v>705</v>
      </c>
      <c r="AQ174" s="1">
        <v>4330236.0</v>
      </c>
      <c r="AR174" s="1">
        <v>39.3711</v>
      </c>
      <c r="AS174" s="1">
        <v>-107.0345</v>
      </c>
      <c r="AT174" s="5">
        <f t="shared" si="1"/>
        <v>41.81394958</v>
      </c>
      <c r="AU174" s="5">
        <f t="shared" si="2"/>
        <v>44185.20588</v>
      </c>
      <c r="AV174" s="5">
        <f t="shared" si="3"/>
        <v>-0.2629756464</v>
      </c>
      <c r="AW174" s="5">
        <f t="shared" si="4"/>
        <v>0.2067706985</v>
      </c>
      <c r="AX174" s="5">
        <f t="shared" si="5"/>
        <v>9136.205882</v>
      </c>
    </row>
    <row r="175">
      <c r="A175" s="1" t="s">
        <v>706</v>
      </c>
      <c r="B175" s="1">
        <v>4.94714499E8</v>
      </c>
      <c r="D175" s="1">
        <v>32205.0</v>
      </c>
      <c r="E175" s="1">
        <v>49713.0</v>
      </c>
      <c r="F175" s="1">
        <v>644.1</v>
      </c>
      <c r="G175" s="1">
        <v>31.45</v>
      </c>
      <c r="H175" s="1">
        <v>250.0</v>
      </c>
      <c r="I175" s="1">
        <v>3.0</v>
      </c>
      <c r="J175" s="1">
        <v>2.0</v>
      </c>
      <c r="K175" s="1">
        <v>7.0</v>
      </c>
      <c r="L175" s="1" t="b">
        <v>1</v>
      </c>
      <c r="M175" s="1" t="b">
        <v>0</v>
      </c>
      <c r="N175" s="1" t="b">
        <v>0</v>
      </c>
      <c r="O175" s="1" t="b">
        <v>1</v>
      </c>
      <c r="P175" s="1" t="b">
        <v>1</v>
      </c>
      <c r="Q175" s="1" t="b">
        <v>0</v>
      </c>
      <c r="R175" s="1" t="b">
        <v>0</v>
      </c>
      <c r="S175" s="1" t="s">
        <v>51</v>
      </c>
      <c r="T175" s="1" t="s">
        <v>65</v>
      </c>
      <c r="U175" s="1" t="s">
        <v>53</v>
      </c>
      <c r="V175" s="1">
        <v>4.85</v>
      </c>
      <c r="W175" s="1">
        <v>40.0</v>
      </c>
      <c r="X175" s="1">
        <v>3.0</v>
      </c>
      <c r="Y175" s="2">
        <v>46058.0</v>
      </c>
      <c r="Z175" s="1" t="s">
        <v>54</v>
      </c>
      <c r="AA175" s="1" t="b">
        <v>0</v>
      </c>
      <c r="AB175" s="1">
        <v>276.0</v>
      </c>
      <c r="AC175" s="1" t="b">
        <v>0</v>
      </c>
      <c r="AD175" s="1">
        <v>50.0</v>
      </c>
      <c r="AE175" s="1">
        <v>13.0</v>
      </c>
      <c r="AF175" s="3">
        <v>46155.0</v>
      </c>
      <c r="AG175" s="1" t="s">
        <v>55</v>
      </c>
      <c r="AH175" s="1" t="s">
        <v>72</v>
      </c>
      <c r="AI175" s="1" t="s">
        <v>72</v>
      </c>
      <c r="AJ175" s="1" t="s">
        <v>58</v>
      </c>
      <c r="AK175" s="1">
        <v>81621.0</v>
      </c>
      <c r="AL175" s="1" t="s">
        <v>59</v>
      </c>
      <c r="AM175" s="1" t="s">
        <v>60</v>
      </c>
      <c r="AN175" s="4" t="s">
        <v>707</v>
      </c>
      <c r="AO175" s="4" t="s">
        <v>708</v>
      </c>
      <c r="AP175" s="1" t="s">
        <v>709</v>
      </c>
      <c r="AQ175" s="1">
        <v>3474151.0</v>
      </c>
      <c r="AR175" s="1">
        <v>39.36892</v>
      </c>
      <c r="AS175" s="1">
        <v>-107.02324</v>
      </c>
      <c r="AT175" s="5">
        <f t="shared" si="1"/>
        <v>41.81394958</v>
      </c>
      <c r="AU175" s="5">
        <f t="shared" si="2"/>
        <v>44185.20588</v>
      </c>
      <c r="AV175" s="5">
        <f t="shared" si="3"/>
        <v>0.2478586616</v>
      </c>
      <c r="AW175" s="5">
        <f t="shared" si="4"/>
        <v>0.2711361335</v>
      </c>
      <c r="AX175" s="5">
        <f t="shared" si="5"/>
        <v>11980.20588</v>
      </c>
    </row>
    <row r="176">
      <c r="A176" s="1" t="s">
        <v>710</v>
      </c>
      <c r="B176" s="1">
        <v>1.55593682E8</v>
      </c>
      <c r="D176" s="1">
        <v>31573.0</v>
      </c>
      <c r="E176" s="1">
        <v>33364.0</v>
      </c>
      <c r="F176" s="1">
        <v>244.75</v>
      </c>
      <c r="G176" s="1">
        <v>40.19</v>
      </c>
      <c r="H176" s="1">
        <v>336.0</v>
      </c>
      <c r="I176" s="1">
        <v>1.0</v>
      </c>
      <c r="J176" s="1">
        <v>1.0</v>
      </c>
      <c r="K176" s="1">
        <v>2.0</v>
      </c>
      <c r="L176" s="1" t="b">
        <v>1</v>
      </c>
      <c r="M176" s="1" t="b">
        <v>0</v>
      </c>
      <c r="N176" s="1" t="b">
        <v>0</v>
      </c>
      <c r="O176" s="1" t="b">
        <v>0</v>
      </c>
      <c r="P176" s="1" t="b">
        <v>1</v>
      </c>
      <c r="Q176" s="1" t="b">
        <v>0</v>
      </c>
      <c r="R176" s="1" t="b">
        <v>0</v>
      </c>
      <c r="S176" s="1" t="s">
        <v>51</v>
      </c>
      <c r="T176" s="1" t="s">
        <v>382</v>
      </c>
      <c r="U176" s="1" t="s">
        <v>257</v>
      </c>
      <c r="V176" s="1">
        <v>4.95</v>
      </c>
      <c r="W176" s="1">
        <v>59.0</v>
      </c>
      <c r="X176" s="1">
        <v>1.0</v>
      </c>
      <c r="Y176" s="2">
        <v>46058.0</v>
      </c>
      <c r="Z176" s="1" t="s">
        <v>54</v>
      </c>
      <c r="AA176" s="1" t="b">
        <v>0</v>
      </c>
      <c r="AB176" s="1">
        <v>53.0</v>
      </c>
      <c r="AC176" s="1" t="b">
        <v>1</v>
      </c>
      <c r="AD176" s="1">
        <v>129.0</v>
      </c>
      <c r="AE176" s="1">
        <v>71.0</v>
      </c>
      <c r="AF176" s="3">
        <v>46159.0</v>
      </c>
      <c r="AG176" s="1" t="s">
        <v>55</v>
      </c>
      <c r="AH176" s="1" t="s">
        <v>711</v>
      </c>
      <c r="AI176" s="1" t="s">
        <v>711</v>
      </c>
      <c r="AJ176" s="1" t="s">
        <v>58</v>
      </c>
      <c r="AK176" s="1">
        <v>81647.0</v>
      </c>
      <c r="AL176" s="1" t="s">
        <v>59</v>
      </c>
      <c r="AM176" s="1" t="s">
        <v>60</v>
      </c>
      <c r="AN176" s="4" t="s">
        <v>712</v>
      </c>
      <c r="AO176" s="4" t="s">
        <v>713</v>
      </c>
      <c r="AP176" s="1" t="s">
        <v>714</v>
      </c>
      <c r="AR176" s="1">
        <v>39.6844882355</v>
      </c>
      <c r="AS176" s="1">
        <v>-107.6478879363</v>
      </c>
      <c r="AT176" s="5">
        <f t="shared" si="1"/>
        <v>41.81394958</v>
      </c>
      <c r="AU176" s="5">
        <f t="shared" si="2"/>
        <v>44185.20588</v>
      </c>
      <c r="AV176" s="5">
        <f t="shared" si="3"/>
        <v>0.03883750749</v>
      </c>
      <c r="AW176" s="5">
        <f t="shared" si="4"/>
        <v>0.2854395635</v>
      </c>
      <c r="AX176" s="5">
        <f t="shared" si="5"/>
        <v>12612.20588</v>
      </c>
    </row>
    <row r="177">
      <c r="A177" s="1" t="s">
        <v>715</v>
      </c>
      <c r="D177" s="1">
        <v>28340.0</v>
      </c>
      <c r="E177" s="1">
        <v>40963.0</v>
      </c>
      <c r="F177" s="1">
        <v>464.59</v>
      </c>
      <c r="G177" s="1">
        <v>39.61</v>
      </c>
      <c r="H177" s="1">
        <v>237.0</v>
      </c>
      <c r="I177" s="1">
        <v>2.0</v>
      </c>
      <c r="J177" s="1">
        <v>2.0</v>
      </c>
      <c r="K177" s="1">
        <v>6.0</v>
      </c>
      <c r="L177" s="1" t="b">
        <v>1</v>
      </c>
      <c r="M177" s="1" t="b">
        <v>1</v>
      </c>
      <c r="N177" s="1" t="b">
        <v>0</v>
      </c>
      <c r="O177" s="1" t="b">
        <v>1</v>
      </c>
      <c r="P177" s="1" t="b">
        <v>1</v>
      </c>
      <c r="Q177" s="1" t="b">
        <v>0</v>
      </c>
      <c r="R177" s="1" t="b">
        <v>0</v>
      </c>
      <c r="S177" s="1" t="s">
        <v>51</v>
      </c>
      <c r="T177" s="1" t="s">
        <v>163</v>
      </c>
      <c r="U177" s="1" t="s">
        <v>164</v>
      </c>
      <c r="V177" s="1">
        <v>5.0</v>
      </c>
      <c r="W177" s="1">
        <v>25.0</v>
      </c>
      <c r="X177" s="1">
        <v>3.0</v>
      </c>
      <c r="Y177" s="1">
        <v>1.0</v>
      </c>
      <c r="Z177" s="1" t="s">
        <v>54</v>
      </c>
      <c r="AA177" s="1" t="b">
        <v>0</v>
      </c>
      <c r="AB177" s="1">
        <v>200.0</v>
      </c>
      <c r="AC177" s="1" t="b">
        <v>0</v>
      </c>
      <c r="AD177" s="1">
        <v>61.0</v>
      </c>
      <c r="AE177" s="1">
        <v>15.0</v>
      </c>
      <c r="AF177" s="3">
        <v>46158.0</v>
      </c>
      <c r="AG177" s="1" t="s">
        <v>55</v>
      </c>
      <c r="AH177" s="1" t="s">
        <v>72</v>
      </c>
      <c r="AI177" s="1" t="s">
        <v>72</v>
      </c>
      <c r="AJ177" s="1" t="s">
        <v>58</v>
      </c>
      <c r="AK177" s="1">
        <v>81621.0</v>
      </c>
      <c r="AL177" s="1" t="s">
        <v>59</v>
      </c>
      <c r="AM177" s="1" t="s">
        <v>60</v>
      </c>
      <c r="AN177" s="4" t="s">
        <v>716</v>
      </c>
      <c r="AO177" s="4" t="s">
        <v>717</v>
      </c>
      <c r="AQ177" s="1">
        <v>3101857.0</v>
      </c>
      <c r="AR177" s="1">
        <v>39.387211</v>
      </c>
      <c r="AS177" s="1">
        <v>-107.083546</v>
      </c>
      <c r="AT177" s="5">
        <f t="shared" si="1"/>
        <v>41.81394958</v>
      </c>
      <c r="AU177" s="5">
        <f t="shared" si="2"/>
        <v>44185.20588</v>
      </c>
      <c r="AV177" s="5">
        <f t="shared" si="3"/>
        <v>0.05270847652</v>
      </c>
      <c r="AW177" s="5">
        <f t="shared" si="4"/>
        <v>0.3586088503</v>
      </c>
      <c r="AX177" s="5">
        <f t="shared" si="5"/>
        <v>15845.20588</v>
      </c>
    </row>
    <row r="178">
      <c r="A178" s="1" t="s">
        <v>718</v>
      </c>
      <c r="B178" s="1" t="s">
        <v>98</v>
      </c>
      <c r="D178" s="1">
        <v>27348.0</v>
      </c>
      <c r="E178" s="1">
        <v>34851.0</v>
      </c>
      <c r="F178" s="1">
        <v>463.53</v>
      </c>
      <c r="G178" s="1">
        <v>66.29</v>
      </c>
      <c r="H178" s="1">
        <v>91.0</v>
      </c>
      <c r="I178" s="1">
        <v>3.0</v>
      </c>
      <c r="J178" s="1">
        <v>2.0</v>
      </c>
      <c r="K178" s="1">
        <v>6.0</v>
      </c>
      <c r="L178" s="1" t="b">
        <v>0</v>
      </c>
      <c r="M178" s="1" t="b">
        <v>0</v>
      </c>
      <c r="N178" s="1" t="b">
        <v>1</v>
      </c>
      <c r="O178" s="1" t="b">
        <v>1</v>
      </c>
      <c r="P178" s="1" t="b">
        <v>1</v>
      </c>
      <c r="Q178" s="1" t="b">
        <v>0</v>
      </c>
      <c r="R178" s="1" t="b">
        <v>0</v>
      </c>
      <c r="S178" s="1" t="s">
        <v>51</v>
      </c>
      <c r="T178" s="1" t="s">
        <v>65</v>
      </c>
      <c r="U178" s="1" t="s">
        <v>53</v>
      </c>
      <c r="V178" s="1">
        <v>4.95</v>
      </c>
      <c r="W178" s="1">
        <v>103.0</v>
      </c>
      <c r="X178" s="1">
        <v>4.0</v>
      </c>
      <c r="Y178" s="1" t="s">
        <v>71</v>
      </c>
      <c r="Z178" s="1" t="s">
        <v>54</v>
      </c>
      <c r="AA178" s="1" t="b">
        <v>1</v>
      </c>
      <c r="AB178" s="1">
        <v>250.0</v>
      </c>
      <c r="AC178" s="1" t="b">
        <v>0</v>
      </c>
      <c r="AD178" s="1">
        <v>59.0</v>
      </c>
      <c r="AE178" s="1">
        <v>18.0</v>
      </c>
      <c r="AF178" s="3">
        <v>45915.0</v>
      </c>
      <c r="AG178" s="1" t="s">
        <v>55</v>
      </c>
      <c r="AH178" s="1" t="s">
        <v>72</v>
      </c>
      <c r="AI178" s="1" t="s">
        <v>56</v>
      </c>
      <c r="AJ178" s="1" t="s">
        <v>58</v>
      </c>
      <c r="AK178" s="1">
        <v>81623.0</v>
      </c>
      <c r="AL178" s="1" t="s">
        <v>59</v>
      </c>
      <c r="AM178" s="1" t="s">
        <v>60</v>
      </c>
      <c r="AN178" s="4" t="s">
        <v>719</v>
      </c>
      <c r="AO178" s="4" t="s">
        <v>720</v>
      </c>
      <c r="AP178" s="1" t="s">
        <v>721</v>
      </c>
      <c r="AQ178" s="1">
        <v>2852930.0</v>
      </c>
      <c r="AR178" s="1">
        <v>39.41026</v>
      </c>
      <c r="AS178" s="1">
        <v>-107.11211</v>
      </c>
      <c r="AT178" s="5">
        <f t="shared" si="1"/>
        <v>41.81394958</v>
      </c>
      <c r="AU178" s="5">
        <f t="shared" si="2"/>
        <v>44185.20588</v>
      </c>
      <c r="AV178" s="5">
        <f t="shared" si="3"/>
        <v>-0.5853560992</v>
      </c>
      <c r="AW178" s="5">
        <f t="shared" si="4"/>
        <v>0.3810598038</v>
      </c>
      <c r="AX178" s="5">
        <f t="shared" si="5"/>
        <v>16837.20588</v>
      </c>
    </row>
    <row r="179">
      <c r="A179" s="1" t="s">
        <v>722</v>
      </c>
      <c r="B179" s="1">
        <v>975972.0</v>
      </c>
      <c r="D179" s="1">
        <v>27002.0</v>
      </c>
      <c r="E179" s="1">
        <v>51344.0</v>
      </c>
      <c r="F179" s="1">
        <v>574.51</v>
      </c>
      <c r="G179" s="1">
        <v>55.29</v>
      </c>
      <c r="H179" s="1">
        <v>249.0</v>
      </c>
      <c r="I179" s="1">
        <v>3.0</v>
      </c>
      <c r="J179" s="1">
        <v>2.0</v>
      </c>
      <c r="K179" s="1">
        <v>6.0</v>
      </c>
      <c r="L179" s="1" t="b">
        <v>1</v>
      </c>
      <c r="M179" s="1" t="b">
        <v>0</v>
      </c>
      <c r="N179" s="1" t="b">
        <v>1</v>
      </c>
      <c r="O179" s="1" t="b">
        <v>1</v>
      </c>
      <c r="P179" s="1" t="b">
        <v>1</v>
      </c>
      <c r="Q179" s="1" t="b">
        <v>0</v>
      </c>
      <c r="R179" s="1" t="b">
        <v>0</v>
      </c>
      <c r="S179" s="1" t="s">
        <v>51</v>
      </c>
      <c r="T179" s="1" t="s">
        <v>65</v>
      </c>
      <c r="U179" s="1" t="s">
        <v>53</v>
      </c>
      <c r="V179" s="1">
        <v>5.0</v>
      </c>
      <c r="W179" s="1">
        <v>24.0</v>
      </c>
      <c r="X179" s="1">
        <v>4.0</v>
      </c>
      <c r="Y179" s="2">
        <v>46058.0</v>
      </c>
      <c r="Z179" s="1" t="s">
        <v>54</v>
      </c>
      <c r="AA179" s="1" t="b">
        <v>0</v>
      </c>
      <c r="AB179" s="1">
        <v>275.0</v>
      </c>
      <c r="AC179" s="1" t="b">
        <v>0</v>
      </c>
      <c r="AD179" s="1">
        <v>47.0</v>
      </c>
      <c r="AE179" s="1">
        <v>11.0</v>
      </c>
      <c r="AF179" s="3">
        <v>46098.0</v>
      </c>
      <c r="AG179" s="1" t="s">
        <v>55</v>
      </c>
      <c r="AH179" s="1" t="s">
        <v>72</v>
      </c>
      <c r="AI179" s="1" t="s">
        <v>56</v>
      </c>
      <c r="AJ179" s="1" t="s">
        <v>58</v>
      </c>
      <c r="AK179" s="1">
        <v>81623.0</v>
      </c>
      <c r="AL179" s="1" t="s">
        <v>59</v>
      </c>
      <c r="AM179" s="1" t="s">
        <v>60</v>
      </c>
      <c r="AN179" s="4" t="s">
        <v>723</v>
      </c>
      <c r="AO179" s="4" t="s">
        <v>724</v>
      </c>
      <c r="AP179" s="1" t="s">
        <v>725</v>
      </c>
      <c r="AQ179" s="1">
        <v>4240630.0</v>
      </c>
      <c r="AR179" s="1">
        <v>39.3993</v>
      </c>
      <c r="AS179" s="1">
        <v>-107.102</v>
      </c>
      <c r="AT179" s="5">
        <f t="shared" si="1"/>
        <v>41.81394958</v>
      </c>
      <c r="AU179" s="5">
        <f t="shared" si="2"/>
        <v>44185.20588</v>
      </c>
      <c r="AV179" s="5">
        <f t="shared" si="3"/>
        <v>-0.3222859968</v>
      </c>
      <c r="AW179" s="5">
        <f t="shared" si="4"/>
        <v>0.388890479</v>
      </c>
      <c r="AX179" s="5">
        <f t="shared" si="5"/>
        <v>17183.20588</v>
      </c>
    </row>
    <row r="180">
      <c r="A180" s="1" t="s">
        <v>726</v>
      </c>
      <c r="D180" s="1">
        <v>26738.0</v>
      </c>
      <c r="E180" s="1">
        <v>45316.0</v>
      </c>
      <c r="F180" s="1">
        <v>486.15</v>
      </c>
      <c r="G180" s="1">
        <v>33.95</v>
      </c>
      <c r="H180" s="1">
        <v>306.0</v>
      </c>
      <c r="I180" s="1">
        <v>2.0</v>
      </c>
      <c r="J180" s="1">
        <v>2.0</v>
      </c>
      <c r="K180" s="1">
        <v>4.0</v>
      </c>
      <c r="L180" s="1" t="b">
        <v>1</v>
      </c>
      <c r="M180" s="1" t="b">
        <v>0</v>
      </c>
      <c r="N180" s="1" t="b">
        <v>0</v>
      </c>
      <c r="O180" s="1" t="b">
        <v>1</v>
      </c>
      <c r="P180" s="1" t="b">
        <v>1</v>
      </c>
      <c r="Q180" s="1" t="b">
        <v>1</v>
      </c>
      <c r="R180" s="1" t="b">
        <v>0</v>
      </c>
      <c r="S180" s="1" t="s">
        <v>51</v>
      </c>
      <c r="T180" s="1" t="s">
        <v>65</v>
      </c>
      <c r="U180" s="1" t="s">
        <v>53</v>
      </c>
      <c r="V180" s="1">
        <v>5.0</v>
      </c>
      <c r="W180" s="1">
        <v>20.0</v>
      </c>
      <c r="X180" s="1">
        <v>5.0</v>
      </c>
      <c r="Y180" s="1">
        <v>1.0</v>
      </c>
      <c r="Z180" s="1" t="s">
        <v>54</v>
      </c>
      <c r="AA180" s="1" t="b">
        <v>0</v>
      </c>
      <c r="AB180" s="1">
        <v>349.0</v>
      </c>
      <c r="AC180" s="1" t="b">
        <v>1</v>
      </c>
      <c r="AD180" s="1">
        <v>55.0</v>
      </c>
      <c r="AE180" s="1">
        <v>12.0</v>
      </c>
      <c r="AF180" s="3">
        <v>46156.0</v>
      </c>
      <c r="AG180" s="1" t="s">
        <v>55</v>
      </c>
      <c r="AH180" s="1" t="s">
        <v>711</v>
      </c>
      <c r="AI180" s="1" t="s">
        <v>711</v>
      </c>
      <c r="AJ180" s="1" t="s">
        <v>58</v>
      </c>
      <c r="AK180" s="1">
        <v>81647.0</v>
      </c>
      <c r="AL180" s="1" t="s">
        <v>59</v>
      </c>
      <c r="AM180" s="1" t="s">
        <v>60</v>
      </c>
      <c r="AN180" s="4" t="s">
        <v>727</v>
      </c>
      <c r="AO180" s="4" t="s">
        <v>728</v>
      </c>
      <c r="AQ180" s="1">
        <v>2888607.0</v>
      </c>
      <c r="AR180" s="1">
        <v>39.65056</v>
      </c>
      <c r="AS180" s="1">
        <v>-107.561495</v>
      </c>
      <c r="AT180" s="5">
        <f t="shared" si="1"/>
        <v>41.81394958</v>
      </c>
      <c r="AU180" s="5">
        <f t="shared" si="2"/>
        <v>44185.20588</v>
      </c>
      <c r="AV180" s="5">
        <f t="shared" si="3"/>
        <v>0.188070002</v>
      </c>
      <c r="AW180" s="5">
        <f t="shared" si="4"/>
        <v>0.3948653296</v>
      </c>
      <c r="AX180" s="5">
        <f t="shared" si="5"/>
        <v>17447.20588</v>
      </c>
    </row>
    <row r="181">
      <c r="A181" s="1" t="s">
        <v>729</v>
      </c>
      <c r="B181" s="1">
        <v>9.9939934E7</v>
      </c>
      <c r="D181" s="1">
        <v>26015.0</v>
      </c>
      <c r="E181" s="1">
        <v>28615.0</v>
      </c>
      <c r="F181" s="1">
        <v>273.84</v>
      </c>
      <c r="G181" s="1">
        <v>63.76</v>
      </c>
      <c r="H181" s="1">
        <v>205.0</v>
      </c>
      <c r="I181" s="1">
        <v>1.0</v>
      </c>
      <c r="J181" s="1">
        <v>2.0</v>
      </c>
      <c r="K181" s="1">
        <v>3.0</v>
      </c>
      <c r="L181" s="1" t="b">
        <v>0</v>
      </c>
      <c r="M181" s="1" t="b">
        <v>0</v>
      </c>
      <c r="N181" s="1" t="b">
        <v>0</v>
      </c>
      <c r="O181" s="1" t="b">
        <v>1</v>
      </c>
      <c r="P181" s="1" t="b">
        <v>1</v>
      </c>
      <c r="Q181" s="1" t="b">
        <v>0</v>
      </c>
      <c r="R181" s="1" t="b">
        <v>0</v>
      </c>
      <c r="S181" s="1" t="s">
        <v>51</v>
      </c>
      <c r="T181" s="1" t="s">
        <v>65</v>
      </c>
      <c r="U181" s="1" t="s">
        <v>53</v>
      </c>
      <c r="V181" s="1">
        <v>4.95</v>
      </c>
      <c r="W181" s="1">
        <v>17.0</v>
      </c>
      <c r="X181" s="1">
        <v>2.0</v>
      </c>
      <c r="Y181" s="1">
        <v>1.0</v>
      </c>
      <c r="Z181" s="1" t="s">
        <v>54</v>
      </c>
      <c r="AA181" s="1" t="b">
        <v>1</v>
      </c>
      <c r="AB181" s="1">
        <v>0.0</v>
      </c>
      <c r="AC181" s="1" t="b">
        <v>0</v>
      </c>
      <c r="AD181" s="1">
        <v>95.0</v>
      </c>
      <c r="AE181" s="1">
        <v>14.0</v>
      </c>
      <c r="AF181" s="3">
        <v>46156.0</v>
      </c>
      <c r="AG181" s="1" t="s">
        <v>55</v>
      </c>
      <c r="AH181" s="1" t="s">
        <v>72</v>
      </c>
      <c r="AI181" s="1" t="s">
        <v>72</v>
      </c>
      <c r="AJ181" s="1" t="s">
        <v>58</v>
      </c>
      <c r="AK181" s="1">
        <v>81621.0</v>
      </c>
      <c r="AL181" s="1" t="s">
        <v>59</v>
      </c>
      <c r="AM181" s="1" t="s">
        <v>60</v>
      </c>
      <c r="AN181" s="4" t="s">
        <v>730</v>
      </c>
      <c r="AO181" s="4" t="s">
        <v>731</v>
      </c>
      <c r="AP181" s="1" t="s">
        <v>732</v>
      </c>
      <c r="AR181" s="1">
        <v>39.3718</v>
      </c>
      <c r="AS181" s="1">
        <v>-107.0836</v>
      </c>
      <c r="AT181" s="5">
        <f t="shared" si="1"/>
        <v>41.81394958</v>
      </c>
      <c r="AU181" s="5">
        <f t="shared" si="2"/>
        <v>44185.20588</v>
      </c>
      <c r="AV181" s="5">
        <f t="shared" si="3"/>
        <v>-0.5248499757</v>
      </c>
      <c r="AW181" s="5">
        <f t="shared" si="4"/>
        <v>0.4112282724</v>
      </c>
      <c r="AX181" s="5">
        <f t="shared" si="5"/>
        <v>18170.20588</v>
      </c>
    </row>
    <row r="182">
      <c r="A182" s="1" t="s">
        <v>733</v>
      </c>
      <c r="B182" s="1">
        <v>5.8618951E7</v>
      </c>
      <c r="D182" s="1">
        <v>24383.0</v>
      </c>
      <c r="E182" s="1">
        <v>25156.0</v>
      </c>
      <c r="F182" s="1">
        <v>320.83</v>
      </c>
      <c r="G182" s="1">
        <v>36.19</v>
      </c>
      <c r="H182" s="1">
        <v>232.0</v>
      </c>
      <c r="I182" s="1">
        <v>2.0</v>
      </c>
      <c r="J182" s="1">
        <v>1.0</v>
      </c>
      <c r="K182" s="1">
        <v>4.0</v>
      </c>
      <c r="L182" s="1" t="b">
        <v>1</v>
      </c>
      <c r="M182" s="1" t="b">
        <v>0</v>
      </c>
      <c r="N182" s="1" t="b">
        <v>0</v>
      </c>
      <c r="O182" s="1" t="b">
        <v>1</v>
      </c>
      <c r="P182" s="1" t="b">
        <v>1</v>
      </c>
      <c r="Q182" s="1" t="b">
        <v>0</v>
      </c>
      <c r="R182" s="1" t="b">
        <v>0</v>
      </c>
      <c r="S182" s="1" t="s">
        <v>51</v>
      </c>
      <c r="T182" s="1" t="s">
        <v>137</v>
      </c>
      <c r="U182" s="1" t="s">
        <v>53</v>
      </c>
      <c r="V182" s="1">
        <v>4.8</v>
      </c>
      <c r="W182" s="1">
        <v>20.0</v>
      </c>
      <c r="X182" s="1">
        <v>1.0</v>
      </c>
      <c r="Y182" s="2">
        <v>46058.0</v>
      </c>
      <c r="Z182" s="1" t="s">
        <v>54</v>
      </c>
      <c r="AA182" s="1" t="b">
        <v>1</v>
      </c>
      <c r="AB182" s="1">
        <v>130.0</v>
      </c>
      <c r="AC182" s="1" t="b">
        <v>1</v>
      </c>
      <c r="AD182" s="1">
        <v>76.0</v>
      </c>
      <c r="AE182" s="1">
        <v>28.0</v>
      </c>
      <c r="AF182" s="3">
        <v>46157.0</v>
      </c>
      <c r="AG182" s="1" t="s">
        <v>55</v>
      </c>
      <c r="AH182" s="1" t="s">
        <v>55</v>
      </c>
      <c r="AI182" s="1" t="s">
        <v>55</v>
      </c>
      <c r="AJ182" s="1" t="s">
        <v>58</v>
      </c>
      <c r="AK182" s="1">
        <v>81601.0</v>
      </c>
      <c r="AL182" s="1" t="s">
        <v>59</v>
      </c>
      <c r="AM182" s="1" t="s">
        <v>60</v>
      </c>
      <c r="AN182" s="4" t="s">
        <v>734</v>
      </c>
      <c r="AO182" s="4" t="s">
        <v>735</v>
      </c>
      <c r="AP182" s="1" t="s">
        <v>736</v>
      </c>
      <c r="AQ182" s="1">
        <v>4599780.0</v>
      </c>
      <c r="AR182" s="1">
        <v>39.5164</v>
      </c>
      <c r="AS182" s="1">
        <v>-107.32297</v>
      </c>
      <c r="AT182" s="5">
        <f t="shared" si="1"/>
        <v>41.81394958</v>
      </c>
      <c r="AU182" s="5">
        <f t="shared" si="2"/>
        <v>44185.20588</v>
      </c>
      <c r="AV182" s="5">
        <f t="shared" si="3"/>
        <v>0.1344993629</v>
      </c>
      <c r="AW182" s="5">
        <f t="shared" si="4"/>
        <v>0.448163712</v>
      </c>
      <c r="AX182" s="5">
        <f t="shared" si="5"/>
        <v>19802.20588</v>
      </c>
    </row>
    <row r="183">
      <c r="A183" s="1" t="s">
        <v>737</v>
      </c>
      <c r="B183" s="1">
        <v>1.90494013E8</v>
      </c>
      <c r="D183" s="1">
        <v>24214.0</v>
      </c>
      <c r="E183" s="1">
        <v>35629.0</v>
      </c>
      <c r="F183" s="1">
        <v>249.63</v>
      </c>
      <c r="G183" s="1">
        <v>92.38</v>
      </c>
      <c r="H183" s="1">
        <v>133.0</v>
      </c>
      <c r="I183" s="1">
        <v>1.0</v>
      </c>
      <c r="J183" s="1">
        <v>1.0</v>
      </c>
      <c r="K183" s="1">
        <v>3.0</v>
      </c>
      <c r="L183" s="1" t="b">
        <v>1</v>
      </c>
      <c r="M183" s="1" t="b">
        <v>0</v>
      </c>
      <c r="N183" s="1" t="b">
        <v>0</v>
      </c>
      <c r="O183" s="1" t="b">
        <v>1</v>
      </c>
      <c r="P183" s="1" t="b">
        <v>1</v>
      </c>
      <c r="Q183" s="1" t="b">
        <v>1</v>
      </c>
      <c r="R183" s="1" t="b">
        <v>0</v>
      </c>
      <c r="S183" s="1" t="s">
        <v>51</v>
      </c>
      <c r="T183" s="1" t="s">
        <v>65</v>
      </c>
      <c r="U183" s="1" t="s">
        <v>53</v>
      </c>
      <c r="V183" s="1">
        <v>5.0</v>
      </c>
      <c r="W183" s="1">
        <v>5.0</v>
      </c>
      <c r="X183" s="1">
        <v>2.0</v>
      </c>
      <c r="Y183" s="2">
        <v>46193.0</v>
      </c>
      <c r="Z183" s="1" t="s">
        <v>54</v>
      </c>
      <c r="AA183" s="1" t="b">
        <v>1</v>
      </c>
      <c r="AB183" s="1">
        <v>141.0</v>
      </c>
      <c r="AC183" s="1" t="b">
        <v>0</v>
      </c>
      <c r="AD183" s="1">
        <v>97.0</v>
      </c>
      <c r="AE183" s="1">
        <v>13.0</v>
      </c>
      <c r="AF183" s="3">
        <v>46155.0</v>
      </c>
      <c r="AG183" s="1" t="s">
        <v>55</v>
      </c>
      <c r="AH183" s="1" t="s">
        <v>55</v>
      </c>
      <c r="AI183" s="1" t="s">
        <v>55</v>
      </c>
      <c r="AJ183" s="1" t="s">
        <v>58</v>
      </c>
      <c r="AK183" s="1">
        <v>81601.0</v>
      </c>
      <c r="AL183" s="1" t="s">
        <v>59</v>
      </c>
      <c r="AM183" s="1" t="s">
        <v>60</v>
      </c>
      <c r="AN183" s="4" t="s">
        <v>738</v>
      </c>
      <c r="AO183" s="4" t="s">
        <v>739</v>
      </c>
      <c r="AP183" s="1" t="s">
        <v>740</v>
      </c>
      <c r="AQ183" s="1">
        <v>4892199.0</v>
      </c>
      <c r="AR183" s="1">
        <v>39.56174</v>
      </c>
      <c r="AS183" s="1">
        <v>-107.29814</v>
      </c>
      <c r="AT183" s="5">
        <f t="shared" si="1"/>
        <v>41.81394958</v>
      </c>
      <c r="AU183" s="5">
        <f t="shared" si="2"/>
        <v>44185.20588</v>
      </c>
      <c r="AV183" s="5">
        <f t="shared" si="3"/>
        <v>-1.209310551</v>
      </c>
      <c r="AW183" s="5">
        <f t="shared" si="4"/>
        <v>0.4519885216</v>
      </c>
      <c r="AX183" s="5">
        <f t="shared" si="5"/>
        <v>19971.20588</v>
      </c>
    </row>
    <row r="184">
      <c r="A184" s="1" t="s">
        <v>741</v>
      </c>
      <c r="B184" s="1" t="s">
        <v>742</v>
      </c>
      <c r="D184" s="1">
        <v>23177.0</v>
      </c>
      <c r="E184" s="1">
        <v>23637.0</v>
      </c>
      <c r="F184" s="1">
        <v>1448.56</v>
      </c>
      <c r="G184" s="1">
        <v>16.33</v>
      </c>
      <c r="H184" s="1">
        <v>149.0</v>
      </c>
      <c r="I184" s="1">
        <v>7.0</v>
      </c>
      <c r="J184" s="1">
        <v>5.0</v>
      </c>
      <c r="K184" s="1">
        <v>16.0</v>
      </c>
      <c r="L184" s="1" t="b">
        <v>0</v>
      </c>
      <c r="M184" s="1" t="b">
        <v>0</v>
      </c>
      <c r="N184" s="1" t="b">
        <v>1</v>
      </c>
      <c r="O184" s="1" t="b">
        <v>1</v>
      </c>
      <c r="P184" s="1" t="b">
        <v>1</v>
      </c>
      <c r="Q184" s="1" t="b">
        <v>1</v>
      </c>
      <c r="R184" s="1" t="b">
        <v>0</v>
      </c>
      <c r="S184" s="1" t="s">
        <v>51</v>
      </c>
      <c r="T184" s="1" t="s">
        <v>65</v>
      </c>
      <c r="U184" s="1" t="s">
        <v>53</v>
      </c>
      <c r="V184" s="1">
        <v>5.0</v>
      </c>
      <c r="W184" s="1">
        <v>2.0</v>
      </c>
      <c r="X184" s="1">
        <v>2.0</v>
      </c>
      <c r="Y184" s="1" t="s">
        <v>71</v>
      </c>
      <c r="Z184" s="1" t="s">
        <v>54</v>
      </c>
      <c r="AA184" s="1" t="b">
        <v>0</v>
      </c>
      <c r="AB184" s="1">
        <v>786.0</v>
      </c>
      <c r="AC184" s="1" t="b">
        <v>0</v>
      </c>
      <c r="AD184" s="1">
        <v>16.0</v>
      </c>
      <c r="AE184" s="1">
        <v>5.0</v>
      </c>
      <c r="AF184" s="3">
        <v>46158.0</v>
      </c>
      <c r="AG184" s="1" t="s">
        <v>55</v>
      </c>
      <c r="AH184" s="1" t="s">
        <v>55</v>
      </c>
      <c r="AI184" s="1" t="s">
        <v>55</v>
      </c>
      <c r="AJ184" s="1" t="s">
        <v>58</v>
      </c>
      <c r="AK184" s="1">
        <v>81601.0</v>
      </c>
      <c r="AL184" s="1" t="s">
        <v>59</v>
      </c>
      <c r="AM184" s="1" t="s">
        <v>60</v>
      </c>
      <c r="AN184" s="4" t="s">
        <v>743</v>
      </c>
      <c r="AO184" s="4" t="s">
        <v>744</v>
      </c>
      <c r="AP184" s="1" t="s">
        <v>745</v>
      </c>
      <c r="AQ184" s="1">
        <v>5002195.0</v>
      </c>
      <c r="AR184" s="1">
        <v>39.4891393805</v>
      </c>
      <c r="AS184" s="1">
        <v>-107.2219185649</v>
      </c>
      <c r="AT184" s="5">
        <f t="shared" si="1"/>
        <v>41.81394958</v>
      </c>
      <c r="AU184" s="5">
        <f t="shared" si="2"/>
        <v>44185.20588</v>
      </c>
      <c r="AV184" s="5">
        <f t="shared" si="3"/>
        <v>0.6094604752</v>
      </c>
      <c r="AW184" s="5">
        <f t="shared" si="4"/>
        <v>0.4754579154</v>
      </c>
      <c r="AX184" s="5">
        <f t="shared" si="5"/>
        <v>21008.20588</v>
      </c>
    </row>
    <row r="185">
      <c r="A185" s="1" t="s">
        <v>746</v>
      </c>
      <c r="B185" s="1">
        <v>2.97762216E8</v>
      </c>
      <c r="D185" s="1">
        <v>23085.0</v>
      </c>
      <c r="E185" s="1">
        <v>27392.0</v>
      </c>
      <c r="F185" s="1">
        <v>226.32</v>
      </c>
      <c r="G185" s="1">
        <v>75.56</v>
      </c>
      <c r="H185" s="1">
        <v>327.0</v>
      </c>
      <c r="I185" s="1">
        <v>1.0</v>
      </c>
      <c r="J185" s="1">
        <v>1.0</v>
      </c>
      <c r="K185" s="1">
        <v>6.0</v>
      </c>
      <c r="L185" s="1" t="b">
        <v>0</v>
      </c>
      <c r="M185" s="1" t="b">
        <v>0</v>
      </c>
      <c r="N185" s="1" t="b">
        <v>0</v>
      </c>
      <c r="O185" s="1" t="b">
        <v>1</v>
      </c>
      <c r="P185" s="1" t="b">
        <v>1</v>
      </c>
      <c r="Q185" s="1" t="b">
        <v>0</v>
      </c>
      <c r="R185" s="1" t="b">
        <v>0</v>
      </c>
      <c r="S185" s="1" t="s">
        <v>51</v>
      </c>
      <c r="T185" s="1" t="s">
        <v>382</v>
      </c>
      <c r="U185" s="1" t="s">
        <v>257</v>
      </c>
      <c r="V185" s="1">
        <v>4.8</v>
      </c>
      <c r="W185" s="1">
        <v>4.0</v>
      </c>
      <c r="X185" s="1">
        <v>3.0</v>
      </c>
      <c r="Y185" s="1">
        <v>1.0</v>
      </c>
      <c r="Z185" s="1" t="s">
        <v>54</v>
      </c>
      <c r="AA185" s="1" t="b">
        <v>0</v>
      </c>
      <c r="AB185" s="1">
        <v>0.0</v>
      </c>
      <c r="AC185" s="1" t="b">
        <v>0</v>
      </c>
      <c r="AD185" s="1">
        <v>102.0</v>
      </c>
      <c r="AE185" s="1">
        <v>1.0</v>
      </c>
      <c r="AF185" s="3">
        <v>45696.0</v>
      </c>
      <c r="AG185" s="1" t="s">
        <v>55</v>
      </c>
      <c r="AH185" s="1" t="s">
        <v>747</v>
      </c>
      <c r="AI185" s="1" t="s">
        <v>711</v>
      </c>
      <c r="AJ185" s="1" t="s">
        <v>58</v>
      </c>
      <c r="AK185" s="1">
        <v>81647.0</v>
      </c>
      <c r="AL185" s="1" t="s">
        <v>59</v>
      </c>
      <c r="AM185" s="1" t="s">
        <v>60</v>
      </c>
      <c r="AN185" s="4" t="s">
        <v>748</v>
      </c>
      <c r="AO185" s="4" t="s">
        <v>749</v>
      </c>
      <c r="AP185" s="1">
        <v>5.3792954E7</v>
      </c>
      <c r="AQ185" s="1">
        <v>1202084.0</v>
      </c>
      <c r="AR185" s="1">
        <v>39.72655</v>
      </c>
      <c r="AS185" s="1">
        <v>-107.6558</v>
      </c>
      <c r="AT185" s="5">
        <f t="shared" si="1"/>
        <v>41.81394958</v>
      </c>
      <c r="AU185" s="5">
        <f t="shared" si="2"/>
        <v>44185.20588</v>
      </c>
      <c r="AV185" s="5">
        <f t="shared" si="3"/>
        <v>-0.8070524492</v>
      </c>
      <c r="AW185" s="5">
        <f t="shared" si="4"/>
        <v>0.4775400603</v>
      </c>
      <c r="AX185" s="5">
        <f t="shared" si="5"/>
        <v>21100.20588</v>
      </c>
    </row>
    <row r="186">
      <c r="A186" s="1" t="s">
        <v>750</v>
      </c>
      <c r="B186" s="1">
        <v>6.66222971E8</v>
      </c>
      <c r="D186" s="1">
        <v>22942.0</v>
      </c>
      <c r="E186" s="1">
        <v>24824.0</v>
      </c>
      <c r="F186" s="1">
        <v>249.37</v>
      </c>
      <c r="G186" s="1">
        <v>30.56</v>
      </c>
      <c r="H186" s="1">
        <v>344.0</v>
      </c>
      <c r="I186" s="1">
        <v>1.0</v>
      </c>
      <c r="J186" s="1">
        <v>1.0</v>
      </c>
      <c r="K186" s="1">
        <v>4.0</v>
      </c>
      <c r="L186" s="1" t="b">
        <v>0</v>
      </c>
      <c r="M186" s="1" t="b">
        <v>0</v>
      </c>
      <c r="N186" s="1" t="b">
        <v>0</v>
      </c>
      <c r="O186" s="1" t="b">
        <v>0</v>
      </c>
      <c r="P186" s="1" t="b">
        <v>1</v>
      </c>
      <c r="Q186" s="1" t="b">
        <v>0</v>
      </c>
      <c r="R186" s="1" t="b">
        <v>0</v>
      </c>
      <c r="S186" s="1" t="s">
        <v>51</v>
      </c>
      <c r="T186" s="1" t="s">
        <v>209</v>
      </c>
      <c r="U186" s="1" t="s">
        <v>164</v>
      </c>
      <c r="V186" s="1">
        <v>4.95</v>
      </c>
      <c r="W186" s="1">
        <v>28.0</v>
      </c>
      <c r="X186" s="1">
        <v>2.0</v>
      </c>
      <c r="Y186" s="2">
        <v>46193.0</v>
      </c>
      <c r="Z186" s="1" t="s">
        <v>54</v>
      </c>
      <c r="AA186" s="1" t="b">
        <v>1</v>
      </c>
      <c r="AB186" s="1">
        <v>0.0</v>
      </c>
      <c r="AC186" s="1" t="b">
        <v>0</v>
      </c>
      <c r="AD186" s="1">
        <v>92.0</v>
      </c>
      <c r="AE186" s="1">
        <v>34.0</v>
      </c>
      <c r="AF186" s="3">
        <v>46159.0</v>
      </c>
      <c r="AG186" s="1" t="s">
        <v>55</v>
      </c>
      <c r="AH186" s="1" t="s">
        <v>72</v>
      </c>
      <c r="AI186" s="1" t="s">
        <v>72</v>
      </c>
      <c r="AJ186" s="1" t="s">
        <v>58</v>
      </c>
      <c r="AK186" s="1">
        <v>81621.0</v>
      </c>
      <c r="AL186" s="1" t="s">
        <v>59</v>
      </c>
      <c r="AM186" s="1" t="s">
        <v>60</v>
      </c>
      <c r="AN186" s="4" t="s">
        <v>751</v>
      </c>
      <c r="AO186" s="4" t="s">
        <v>752</v>
      </c>
      <c r="AP186" s="1" t="s">
        <v>753</v>
      </c>
      <c r="AR186" s="1">
        <v>39.3688666336</v>
      </c>
      <c r="AS186" s="1">
        <v>-107.0308095313</v>
      </c>
      <c r="AT186" s="5">
        <f t="shared" si="1"/>
        <v>41.81394958</v>
      </c>
      <c r="AU186" s="5">
        <f t="shared" si="2"/>
        <v>44185.20588</v>
      </c>
      <c r="AV186" s="5">
        <f t="shared" si="3"/>
        <v>0.2691434245</v>
      </c>
      <c r="AW186" s="5">
        <f t="shared" si="4"/>
        <v>0.4807764377</v>
      </c>
      <c r="AX186" s="5">
        <f t="shared" si="5"/>
        <v>21243.20588</v>
      </c>
    </row>
    <row r="187">
      <c r="A187" s="1" t="s">
        <v>754</v>
      </c>
      <c r="B187" s="1">
        <v>7.023017E7</v>
      </c>
      <c r="D187" s="1">
        <v>22370.0</v>
      </c>
      <c r="E187" s="1">
        <v>39597.0</v>
      </c>
      <c r="F187" s="1">
        <v>860.38</v>
      </c>
      <c r="G187" s="1">
        <v>41.27</v>
      </c>
      <c r="H187" s="1">
        <v>111.0</v>
      </c>
      <c r="I187" s="1">
        <v>3.0</v>
      </c>
      <c r="J187" s="1">
        <v>2.0</v>
      </c>
      <c r="K187" s="1">
        <v>7.0</v>
      </c>
      <c r="L187" s="1" t="b">
        <v>1</v>
      </c>
      <c r="M187" s="1" t="b">
        <v>0</v>
      </c>
      <c r="N187" s="1" t="b">
        <v>1</v>
      </c>
      <c r="O187" s="1" t="b">
        <v>1</v>
      </c>
      <c r="P187" s="1" t="b">
        <v>1</v>
      </c>
      <c r="Q187" s="1" t="b">
        <v>1</v>
      </c>
      <c r="R187" s="1" t="b">
        <v>1</v>
      </c>
      <c r="S187" s="1" t="s">
        <v>51</v>
      </c>
      <c r="T187" s="1" t="s">
        <v>65</v>
      </c>
      <c r="U187" s="1" t="s">
        <v>53</v>
      </c>
      <c r="V187" s="1">
        <v>5.0</v>
      </c>
      <c r="W187" s="1">
        <v>29.0</v>
      </c>
      <c r="X187" s="1">
        <v>2.0</v>
      </c>
      <c r="Y187" s="1">
        <v>1.0</v>
      </c>
      <c r="Z187" s="1" t="s">
        <v>54</v>
      </c>
      <c r="AA187" s="1" t="b">
        <v>0</v>
      </c>
      <c r="AB187" s="1">
        <v>300.0</v>
      </c>
      <c r="AC187" s="1" t="b">
        <v>0</v>
      </c>
      <c r="AD187" s="1">
        <v>26.0</v>
      </c>
      <c r="AE187" s="1">
        <v>5.0</v>
      </c>
      <c r="AF187" s="3">
        <v>46159.0</v>
      </c>
      <c r="AG187" s="1" t="s">
        <v>55</v>
      </c>
      <c r="AH187" s="1" t="s">
        <v>72</v>
      </c>
      <c r="AI187" s="1" t="s">
        <v>56</v>
      </c>
      <c r="AJ187" s="1" t="s">
        <v>58</v>
      </c>
      <c r="AK187" s="1">
        <v>81623.0</v>
      </c>
      <c r="AL187" s="1" t="s">
        <v>59</v>
      </c>
      <c r="AM187" s="1" t="s">
        <v>60</v>
      </c>
      <c r="AN187" s="4" t="s">
        <v>755</v>
      </c>
      <c r="AO187" s="4" t="s">
        <v>756</v>
      </c>
      <c r="AP187" s="1" t="s">
        <v>757</v>
      </c>
      <c r="AQ187" s="1">
        <v>3246711.0</v>
      </c>
      <c r="AR187" s="1">
        <v>39.429</v>
      </c>
      <c r="AS187" s="1">
        <v>-107.1038</v>
      </c>
      <c r="AT187" s="5">
        <f t="shared" si="1"/>
        <v>41.81394958</v>
      </c>
      <c r="AU187" s="5">
        <f t="shared" si="2"/>
        <v>44185.20588</v>
      </c>
      <c r="AV187" s="5">
        <f t="shared" si="3"/>
        <v>0.01300880652</v>
      </c>
      <c r="AW187" s="5">
        <f t="shared" si="4"/>
        <v>0.4937219471</v>
      </c>
      <c r="AX187" s="5">
        <f t="shared" si="5"/>
        <v>21815.20588</v>
      </c>
    </row>
    <row r="188">
      <c r="A188" s="1" t="s">
        <v>758</v>
      </c>
      <c r="B188" s="1">
        <v>2.5006274E7</v>
      </c>
      <c r="D188" s="1">
        <v>22289.0</v>
      </c>
      <c r="E188" s="1">
        <v>23582.0</v>
      </c>
      <c r="F188" s="1">
        <v>289.47</v>
      </c>
      <c r="G188" s="1">
        <v>37.02</v>
      </c>
      <c r="H188" s="1">
        <v>353.0</v>
      </c>
      <c r="I188" s="1">
        <v>1.0</v>
      </c>
      <c r="J188" s="1">
        <v>1.0</v>
      </c>
      <c r="K188" s="1">
        <v>3.0</v>
      </c>
      <c r="L188" s="1" t="b">
        <v>0</v>
      </c>
      <c r="M188" s="1" t="b">
        <v>0</v>
      </c>
      <c r="N188" s="1" t="b">
        <v>0</v>
      </c>
      <c r="O188" s="1" t="b">
        <v>1</v>
      </c>
      <c r="P188" s="1" t="b">
        <v>1</v>
      </c>
      <c r="Q188" s="1" t="b">
        <v>0</v>
      </c>
      <c r="R188" s="1" t="b">
        <v>0</v>
      </c>
      <c r="S188" s="1" t="s">
        <v>51</v>
      </c>
      <c r="T188" s="1" t="s">
        <v>759</v>
      </c>
      <c r="U188" s="1" t="s">
        <v>53</v>
      </c>
      <c r="V188" s="1">
        <v>4.9</v>
      </c>
      <c r="W188" s="1">
        <v>194.0</v>
      </c>
      <c r="X188" s="1">
        <v>3.0</v>
      </c>
      <c r="Y188" s="1">
        <v>1.0</v>
      </c>
      <c r="Z188" s="1" t="s">
        <v>54</v>
      </c>
      <c r="AA188" s="1" t="b">
        <v>1</v>
      </c>
      <c r="AB188" s="1">
        <v>150.0</v>
      </c>
      <c r="AC188" s="1" t="b">
        <v>0</v>
      </c>
      <c r="AD188" s="1">
        <v>77.0</v>
      </c>
      <c r="AE188" s="1">
        <v>20.0</v>
      </c>
      <c r="AF188" s="3">
        <v>46159.0</v>
      </c>
      <c r="AG188" s="1" t="s">
        <v>55</v>
      </c>
      <c r="AH188" s="1" t="s">
        <v>72</v>
      </c>
      <c r="AI188" s="1" t="s">
        <v>72</v>
      </c>
      <c r="AJ188" s="1" t="s">
        <v>58</v>
      </c>
      <c r="AK188" s="1">
        <v>81621.0</v>
      </c>
      <c r="AL188" s="1" t="s">
        <v>59</v>
      </c>
      <c r="AM188" s="1" t="s">
        <v>60</v>
      </c>
      <c r="AN188" s="4" t="s">
        <v>760</v>
      </c>
      <c r="AO188" s="4" t="s">
        <v>761</v>
      </c>
      <c r="AP188" s="1">
        <v>2.7549821E7</v>
      </c>
      <c r="AR188" s="1">
        <v>39.3701</v>
      </c>
      <c r="AS188" s="1">
        <v>-107.0339</v>
      </c>
      <c r="AT188" s="5">
        <f t="shared" si="1"/>
        <v>41.81394958</v>
      </c>
      <c r="AU188" s="5">
        <f t="shared" si="2"/>
        <v>44185.20588</v>
      </c>
      <c r="AV188" s="5">
        <f t="shared" si="3"/>
        <v>0.1146495279</v>
      </c>
      <c r="AW188" s="5">
        <f t="shared" si="4"/>
        <v>0.4955551399</v>
      </c>
      <c r="AX188" s="5">
        <f t="shared" si="5"/>
        <v>21896.20588</v>
      </c>
    </row>
    <row r="189">
      <c r="A189" s="1" t="s">
        <v>762</v>
      </c>
      <c r="B189" s="1" t="s">
        <v>685</v>
      </c>
      <c r="D189" s="1">
        <v>22236.0</v>
      </c>
      <c r="E189" s="1">
        <v>22343.0</v>
      </c>
      <c r="F189" s="1">
        <v>229.24</v>
      </c>
      <c r="G189" s="1">
        <v>28.87</v>
      </c>
      <c r="H189" s="1">
        <v>363.0</v>
      </c>
      <c r="I189" s="1">
        <v>1.0</v>
      </c>
      <c r="J189" s="1">
        <v>1.0</v>
      </c>
      <c r="K189" s="1">
        <v>2.0</v>
      </c>
      <c r="L189" s="1" t="b">
        <v>1</v>
      </c>
      <c r="M189" s="1" t="b">
        <v>0</v>
      </c>
      <c r="N189" s="1" t="b">
        <v>0</v>
      </c>
      <c r="O189" s="1" t="b">
        <v>1</v>
      </c>
      <c r="P189" s="1" t="b">
        <v>1</v>
      </c>
      <c r="Q189" s="1" t="b">
        <v>0</v>
      </c>
      <c r="R189" s="1" t="b">
        <v>0</v>
      </c>
      <c r="S189" s="1" t="s">
        <v>51</v>
      </c>
      <c r="T189" s="1" t="s">
        <v>137</v>
      </c>
      <c r="U189" s="1" t="s">
        <v>53</v>
      </c>
      <c r="V189" s="1">
        <v>4.85</v>
      </c>
      <c r="W189" s="1">
        <v>45.0</v>
      </c>
      <c r="X189" s="1">
        <v>1.0</v>
      </c>
      <c r="Y189" s="1" t="s">
        <v>71</v>
      </c>
      <c r="Z189" s="1" t="s">
        <v>54</v>
      </c>
      <c r="AA189" s="1" t="b">
        <v>1</v>
      </c>
      <c r="AB189" s="1">
        <v>20.0</v>
      </c>
      <c r="AC189" s="1" t="b">
        <v>1</v>
      </c>
      <c r="AD189" s="1">
        <v>97.0</v>
      </c>
      <c r="AE189" s="1">
        <v>45.0</v>
      </c>
      <c r="AF189" s="3">
        <v>46158.0</v>
      </c>
      <c r="AG189" s="1" t="s">
        <v>55</v>
      </c>
      <c r="AH189" s="1" t="s">
        <v>55</v>
      </c>
      <c r="AI189" s="1" t="s">
        <v>55</v>
      </c>
      <c r="AJ189" s="1" t="s">
        <v>58</v>
      </c>
      <c r="AK189" s="1">
        <v>81601.0</v>
      </c>
      <c r="AL189" s="1" t="s">
        <v>59</v>
      </c>
      <c r="AM189" s="1" t="s">
        <v>60</v>
      </c>
      <c r="AN189" s="4" t="s">
        <v>763</v>
      </c>
      <c r="AO189" s="4" t="s">
        <v>764</v>
      </c>
      <c r="AP189" s="1" t="s">
        <v>765</v>
      </c>
      <c r="AQ189" s="1">
        <v>4147572.0</v>
      </c>
      <c r="AR189" s="1">
        <v>39.5611</v>
      </c>
      <c r="AS189" s="1">
        <v>-107.3493</v>
      </c>
      <c r="AT189" s="5">
        <f t="shared" si="1"/>
        <v>41.81394958</v>
      </c>
      <c r="AU189" s="5">
        <f t="shared" si="2"/>
        <v>44185.20588</v>
      </c>
      <c r="AV189" s="5">
        <f t="shared" si="3"/>
        <v>0.3095605584</v>
      </c>
      <c r="AW189" s="5">
        <f t="shared" si="4"/>
        <v>0.4967546364</v>
      </c>
      <c r="AX189" s="5">
        <f t="shared" si="5"/>
        <v>21949.20588</v>
      </c>
    </row>
    <row r="190">
      <c r="A190" s="1" t="s">
        <v>766</v>
      </c>
      <c r="D190" s="1">
        <v>21488.0</v>
      </c>
      <c r="E190" s="1">
        <v>38820.0</v>
      </c>
      <c r="F190" s="1">
        <v>413.23</v>
      </c>
      <c r="G190" s="1">
        <v>40.62</v>
      </c>
      <c r="H190" s="1">
        <v>245.0</v>
      </c>
      <c r="I190" s="1">
        <v>1.0</v>
      </c>
      <c r="J190" s="1">
        <v>1.0</v>
      </c>
      <c r="K190" s="1">
        <v>4.0</v>
      </c>
      <c r="L190" s="1" t="b">
        <v>0</v>
      </c>
      <c r="M190" s="1" t="b">
        <v>0</v>
      </c>
      <c r="N190" s="1" t="b">
        <v>0</v>
      </c>
      <c r="O190" s="1" t="b">
        <v>1</v>
      </c>
      <c r="P190" s="1" t="b">
        <v>1</v>
      </c>
      <c r="Q190" s="1" t="b">
        <v>0</v>
      </c>
      <c r="R190" s="1" t="b">
        <v>0</v>
      </c>
      <c r="S190" s="1" t="s">
        <v>51</v>
      </c>
      <c r="T190" s="1" t="s">
        <v>65</v>
      </c>
      <c r="U190" s="1" t="s">
        <v>53</v>
      </c>
      <c r="V190" s="1">
        <v>5.0</v>
      </c>
      <c r="W190" s="1">
        <v>74.0</v>
      </c>
      <c r="X190" s="1">
        <v>4.0</v>
      </c>
      <c r="Y190" s="1">
        <v>1.0</v>
      </c>
      <c r="Z190" s="1" t="s">
        <v>54</v>
      </c>
      <c r="AA190" s="1" t="b">
        <v>0</v>
      </c>
      <c r="AB190" s="1">
        <v>150.0</v>
      </c>
      <c r="AC190" s="1" t="b">
        <v>0</v>
      </c>
      <c r="AD190" s="1">
        <v>52.0</v>
      </c>
      <c r="AE190" s="1">
        <v>7.0</v>
      </c>
      <c r="AF190" s="3">
        <v>46159.0</v>
      </c>
      <c r="AG190" s="1" t="s">
        <v>55</v>
      </c>
      <c r="AH190" s="1" t="s">
        <v>72</v>
      </c>
      <c r="AI190" s="1" t="s">
        <v>72</v>
      </c>
      <c r="AJ190" s="1" t="s">
        <v>58</v>
      </c>
      <c r="AK190" s="1">
        <v>81621.0</v>
      </c>
      <c r="AL190" s="1" t="s">
        <v>59</v>
      </c>
      <c r="AM190" s="1" t="s">
        <v>60</v>
      </c>
      <c r="AN190" s="4" t="s">
        <v>767</v>
      </c>
      <c r="AO190" s="4" t="s">
        <v>768</v>
      </c>
      <c r="AQ190" s="1">
        <v>1649226.0</v>
      </c>
      <c r="AR190" s="1">
        <v>39.368921</v>
      </c>
      <c r="AS190" s="1">
        <v>-107.034396</v>
      </c>
      <c r="AT190" s="5">
        <f t="shared" si="1"/>
        <v>41.81394958</v>
      </c>
      <c r="AU190" s="5">
        <f t="shared" si="2"/>
        <v>44185.20588</v>
      </c>
      <c r="AV190" s="5">
        <f t="shared" si="3"/>
        <v>0.02855385803</v>
      </c>
      <c r="AW190" s="5">
        <f t="shared" si="4"/>
        <v>0.5136833795</v>
      </c>
      <c r="AX190" s="5">
        <f t="shared" si="5"/>
        <v>22697.20588</v>
      </c>
    </row>
    <row r="191">
      <c r="A191" s="1" t="s">
        <v>769</v>
      </c>
      <c r="B191" s="1" t="s">
        <v>190</v>
      </c>
      <c r="D191" s="1">
        <v>20290.0</v>
      </c>
      <c r="E191" s="1">
        <v>24392.0</v>
      </c>
      <c r="F191" s="1">
        <v>235.93</v>
      </c>
      <c r="G191" s="1">
        <v>55.48</v>
      </c>
      <c r="H191" s="1">
        <v>155.0</v>
      </c>
      <c r="I191" s="1">
        <v>1.0</v>
      </c>
      <c r="J191" s="1">
        <v>1.0</v>
      </c>
      <c r="K191" s="1">
        <v>4.0</v>
      </c>
      <c r="L191" s="1" t="b">
        <v>0</v>
      </c>
      <c r="M191" s="1" t="b">
        <v>0</v>
      </c>
      <c r="N191" s="1" t="b">
        <v>0</v>
      </c>
      <c r="O191" s="1" t="b">
        <v>1</v>
      </c>
      <c r="P191" s="1" t="b">
        <v>1</v>
      </c>
      <c r="Q191" s="1" t="b">
        <v>0</v>
      </c>
      <c r="R191" s="1" t="b">
        <v>0</v>
      </c>
      <c r="S191" s="1" t="s">
        <v>51</v>
      </c>
      <c r="T191" s="1" t="s">
        <v>209</v>
      </c>
      <c r="U191" s="1" t="s">
        <v>164</v>
      </c>
      <c r="V191" s="1">
        <v>4.6</v>
      </c>
      <c r="W191" s="1">
        <v>58.0</v>
      </c>
      <c r="X191" s="1">
        <v>2.0</v>
      </c>
      <c r="Y191" s="1" t="s">
        <v>71</v>
      </c>
      <c r="Z191" s="1" t="s">
        <v>54</v>
      </c>
      <c r="AA191" s="1" t="b">
        <v>1</v>
      </c>
      <c r="AB191" s="1">
        <v>140.0</v>
      </c>
      <c r="AC191" s="1" t="b">
        <v>1</v>
      </c>
      <c r="AD191" s="1">
        <v>86.0</v>
      </c>
      <c r="AE191" s="1">
        <v>27.0</v>
      </c>
      <c r="AF191" s="3">
        <v>45951.0</v>
      </c>
      <c r="AG191" s="1" t="s">
        <v>55</v>
      </c>
      <c r="AH191" s="1" t="s">
        <v>55</v>
      </c>
      <c r="AI191" s="1" t="s">
        <v>55</v>
      </c>
      <c r="AJ191" s="1" t="s">
        <v>58</v>
      </c>
      <c r="AK191" s="1">
        <v>81601.0</v>
      </c>
      <c r="AL191" s="1" t="s">
        <v>59</v>
      </c>
      <c r="AM191" s="1" t="s">
        <v>60</v>
      </c>
      <c r="AN191" s="4" t="s">
        <v>770</v>
      </c>
      <c r="AO191" s="4" t="s">
        <v>771</v>
      </c>
      <c r="AP191" s="1" t="s">
        <v>772</v>
      </c>
      <c r="AQ191" s="1">
        <v>3252829.0</v>
      </c>
      <c r="AR191" s="1">
        <v>39.47065</v>
      </c>
      <c r="AS191" s="1">
        <v>-107.32066</v>
      </c>
      <c r="AT191" s="5">
        <f t="shared" si="1"/>
        <v>41.81394958</v>
      </c>
      <c r="AU191" s="5">
        <f t="shared" si="2"/>
        <v>44185.20588</v>
      </c>
      <c r="AV191" s="5">
        <f t="shared" si="3"/>
        <v>-0.3268299349</v>
      </c>
      <c r="AW191" s="5">
        <f t="shared" si="4"/>
        <v>0.5407965269</v>
      </c>
      <c r="AX191" s="5">
        <f t="shared" si="5"/>
        <v>23895.20588</v>
      </c>
    </row>
    <row r="192">
      <c r="A192" s="1" t="s">
        <v>773</v>
      </c>
      <c r="B192" s="1" t="s">
        <v>98</v>
      </c>
      <c r="D192" s="1">
        <v>19907.0</v>
      </c>
      <c r="E192" s="1">
        <v>35471.0</v>
      </c>
      <c r="F192" s="1">
        <v>473.98</v>
      </c>
      <c r="G192" s="1">
        <v>52.5</v>
      </c>
      <c r="H192" s="1">
        <v>110.0</v>
      </c>
      <c r="I192" s="1">
        <v>3.0</v>
      </c>
      <c r="J192" s="1">
        <v>2.0</v>
      </c>
      <c r="K192" s="1">
        <v>8.0</v>
      </c>
      <c r="L192" s="1" t="b">
        <v>0</v>
      </c>
      <c r="M192" s="1" t="b">
        <v>0</v>
      </c>
      <c r="N192" s="1" t="b">
        <v>0</v>
      </c>
      <c r="O192" s="1" t="b">
        <v>1</v>
      </c>
      <c r="P192" s="1" t="b">
        <v>0</v>
      </c>
      <c r="Q192" s="1" t="b">
        <v>1</v>
      </c>
      <c r="R192" s="1" t="b">
        <v>0</v>
      </c>
      <c r="S192" s="1" t="s">
        <v>51</v>
      </c>
      <c r="T192" s="1" t="s">
        <v>65</v>
      </c>
      <c r="U192" s="1" t="s">
        <v>53</v>
      </c>
      <c r="V192" s="1">
        <v>5.0</v>
      </c>
      <c r="W192" s="1">
        <v>13.0</v>
      </c>
      <c r="X192" s="1">
        <v>4.0</v>
      </c>
      <c r="Y192" s="1" t="s">
        <v>71</v>
      </c>
      <c r="Z192" s="1" t="s">
        <v>54</v>
      </c>
      <c r="AA192" s="1" t="b">
        <v>1</v>
      </c>
      <c r="AB192" s="1">
        <v>315.0</v>
      </c>
      <c r="AC192" s="1" t="b">
        <v>0</v>
      </c>
      <c r="AD192" s="1">
        <v>42.0</v>
      </c>
      <c r="AE192" s="1">
        <v>11.0</v>
      </c>
      <c r="AF192" s="3">
        <v>46102.0</v>
      </c>
      <c r="AG192" s="1" t="s">
        <v>55</v>
      </c>
      <c r="AH192" s="1" t="s">
        <v>72</v>
      </c>
      <c r="AI192" s="1" t="s">
        <v>56</v>
      </c>
      <c r="AJ192" s="1" t="s">
        <v>58</v>
      </c>
      <c r="AK192" s="1">
        <v>81623.0</v>
      </c>
      <c r="AL192" s="1" t="s">
        <v>59</v>
      </c>
      <c r="AM192" s="1" t="s">
        <v>60</v>
      </c>
      <c r="AN192" s="4" t="s">
        <v>774</v>
      </c>
      <c r="AO192" s="4" t="s">
        <v>775</v>
      </c>
      <c r="AP192" s="1" t="s">
        <v>776</v>
      </c>
      <c r="AQ192" s="1">
        <v>4358519.0</v>
      </c>
      <c r="AR192" s="1">
        <v>39.40265</v>
      </c>
      <c r="AS192" s="1">
        <v>-107.10058</v>
      </c>
      <c r="AT192" s="5">
        <f t="shared" si="1"/>
        <v>41.81394958</v>
      </c>
      <c r="AU192" s="5">
        <f t="shared" si="2"/>
        <v>44185.20588</v>
      </c>
      <c r="AV192" s="5">
        <f t="shared" si="3"/>
        <v>-0.2555618526</v>
      </c>
      <c r="AW192" s="5">
        <f t="shared" si="4"/>
        <v>0.5494645866</v>
      </c>
      <c r="AX192" s="5">
        <f t="shared" si="5"/>
        <v>24278.20588</v>
      </c>
    </row>
    <row r="193">
      <c r="A193" s="1" t="s">
        <v>777</v>
      </c>
      <c r="B193" s="1">
        <v>6.66222971E8</v>
      </c>
      <c r="D193" s="1">
        <v>19162.0</v>
      </c>
      <c r="E193" s="1">
        <v>32996.0</v>
      </c>
      <c r="F193" s="1">
        <v>290.33</v>
      </c>
      <c r="G193" s="1">
        <v>43.42</v>
      </c>
      <c r="H193" s="1">
        <v>273.0</v>
      </c>
      <c r="I193" s="1">
        <v>1.0</v>
      </c>
      <c r="J193" s="1">
        <v>1.0</v>
      </c>
      <c r="K193" s="1">
        <v>4.0</v>
      </c>
      <c r="L193" s="1" t="b">
        <v>1</v>
      </c>
      <c r="M193" s="1" t="b">
        <v>0</v>
      </c>
      <c r="N193" s="1" t="b">
        <v>0</v>
      </c>
      <c r="O193" s="1" t="b">
        <v>1</v>
      </c>
      <c r="P193" s="1" t="b">
        <v>1</v>
      </c>
      <c r="Q193" s="1" t="b">
        <v>0</v>
      </c>
      <c r="R193" s="1" t="b">
        <v>0</v>
      </c>
      <c r="S193" s="1" t="s">
        <v>51</v>
      </c>
      <c r="T193" s="1" t="s">
        <v>209</v>
      </c>
      <c r="U193" s="1" t="s">
        <v>164</v>
      </c>
      <c r="V193" s="1">
        <v>5.0</v>
      </c>
      <c r="W193" s="1">
        <v>4.0</v>
      </c>
      <c r="X193" s="1">
        <v>2.0</v>
      </c>
      <c r="Y193" s="2">
        <v>46193.0</v>
      </c>
      <c r="Z193" s="1" t="s">
        <v>54</v>
      </c>
      <c r="AA193" s="1" t="b">
        <v>1</v>
      </c>
      <c r="AB193" s="1">
        <v>0.0</v>
      </c>
      <c r="AC193" s="1" t="b">
        <v>0</v>
      </c>
      <c r="AD193" s="1">
        <v>66.0</v>
      </c>
      <c r="AE193" s="1">
        <v>18.0</v>
      </c>
      <c r="AF193" s="3">
        <v>46149.0</v>
      </c>
      <c r="AG193" s="1" t="s">
        <v>55</v>
      </c>
      <c r="AH193" s="1" t="s">
        <v>72</v>
      </c>
      <c r="AI193" s="1" t="s">
        <v>72</v>
      </c>
      <c r="AJ193" s="1" t="s">
        <v>58</v>
      </c>
      <c r="AK193" s="1">
        <v>81621.0</v>
      </c>
      <c r="AL193" s="1" t="s">
        <v>59</v>
      </c>
      <c r="AM193" s="1" t="s">
        <v>60</v>
      </c>
      <c r="AN193" s="4" t="s">
        <v>778</v>
      </c>
      <c r="AO193" s="4" t="s">
        <v>779</v>
      </c>
      <c r="AP193" s="1" t="s">
        <v>780</v>
      </c>
      <c r="AR193" s="1">
        <v>39.36825</v>
      </c>
      <c r="AS193" s="1">
        <v>-107.03512</v>
      </c>
      <c r="AT193" s="5">
        <f t="shared" si="1"/>
        <v>41.81394958</v>
      </c>
      <c r="AU193" s="5">
        <f t="shared" si="2"/>
        <v>44185.20588</v>
      </c>
      <c r="AV193" s="5">
        <f t="shared" si="3"/>
        <v>-0.03840944078</v>
      </c>
      <c r="AW193" s="5">
        <f t="shared" si="4"/>
        <v>0.5663254337</v>
      </c>
      <c r="AX193" s="5">
        <f t="shared" si="5"/>
        <v>25023.20588</v>
      </c>
    </row>
    <row r="194">
      <c r="A194" s="1" t="s">
        <v>781</v>
      </c>
      <c r="B194" s="1">
        <v>5.8618951E7</v>
      </c>
      <c r="D194" s="1">
        <v>18751.0</v>
      </c>
      <c r="E194" s="1">
        <v>22623.0</v>
      </c>
      <c r="F194" s="1">
        <v>390.65</v>
      </c>
      <c r="G194" s="1">
        <v>24.62</v>
      </c>
      <c r="H194" s="1">
        <v>258.0</v>
      </c>
      <c r="I194" s="1">
        <v>2.0</v>
      </c>
      <c r="J194" s="1">
        <v>2.0</v>
      </c>
      <c r="K194" s="1">
        <v>4.0</v>
      </c>
      <c r="L194" s="1" t="b">
        <v>1</v>
      </c>
      <c r="M194" s="1" t="b">
        <v>0</v>
      </c>
      <c r="N194" s="1" t="b">
        <v>0</v>
      </c>
      <c r="O194" s="1" t="b">
        <v>1</v>
      </c>
      <c r="P194" s="1" t="b">
        <v>1</v>
      </c>
      <c r="Q194" s="1" t="b">
        <v>0</v>
      </c>
      <c r="R194" s="1" t="b">
        <v>0</v>
      </c>
      <c r="S194" s="1" t="s">
        <v>51</v>
      </c>
      <c r="T194" s="1" t="s">
        <v>137</v>
      </c>
      <c r="U194" s="1" t="s">
        <v>53</v>
      </c>
      <c r="V194" s="1">
        <v>5.0</v>
      </c>
      <c r="W194" s="1">
        <v>2.0</v>
      </c>
      <c r="X194" s="1">
        <v>3.0</v>
      </c>
      <c r="Y194" s="2">
        <v>46058.0</v>
      </c>
      <c r="Z194" s="1" t="s">
        <v>54</v>
      </c>
      <c r="AA194" s="1" t="b">
        <v>1</v>
      </c>
      <c r="AB194" s="1">
        <v>151.0</v>
      </c>
      <c r="AC194" s="1" t="b">
        <v>1</v>
      </c>
      <c r="AD194" s="1">
        <v>48.0</v>
      </c>
      <c r="AE194" s="1">
        <v>17.0</v>
      </c>
      <c r="AF194" s="3">
        <v>46157.0</v>
      </c>
      <c r="AG194" s="1" t="s">
        <v>55</v>
      </c>
      <c r="AH194" s="1" t="s">
        <v>55</v>
      </c>
      <c r="AI194" s="1" t="s">
        <v>55</v>
      </c>
      <c r="AJ194" s="1" t="s">
        <v>58</v>
      </c>
      <c r="AK194" s="1">
        <v>81601.0</v>
      </c>
      <c r="AL194" s="1" t="s">
        <v>59</v>
      </c>
      <c r="AM194" s="1" t="s">
        <v>60</v>
      </c>
      <c r="AN194" s="4" t="s">
        <v>782</v>
      </c>
      <c r="AO194" s="4" t="s">
        <v>783</v>
      </c>
      <c r="AP194" s="1" t="s">
        <v>784</v>
      </c>
      <c r="AQ194" s="1">
        <v>4715937.0</v>
      </c>
      <c r="AR194" s="1">
        <v>39.51643</v>
      </c>
      <c r="AS194" s="1">
        <v>-107.32241</v>
      </c>
      <c r="AT194" s="5">
        <f t="shared" si="1"/>
        <v>41.81394958</v>
      </c>
      <c r="AU194" s="5">
        <f t="shared" si="2"/>
        <v>44185.20588</v>
      </c>
      <c r="AV194" s="5">
        <f t="shared" si="3"/>
        <v>0.4112012798</v>
      </c>
      <c r="AW194" s="5">
        <f t="shared" si="4"/>
        <v>0.5756271896</v>
      </c>
      <c r="AX194" s="5">
        <f t="shared" si="5"/>
        <v>25434.20588</v>
      </c>
    </row>
    <row r="195">
      <c r="A195" s="1" t="s">
        <v>785</v>
      </c>
      <c r="B195" s="1">
        <v>7.36644483E8</v>
      </c>
      <c r="D195" s="1">
        <v>17958.0</v>
      </c>
      <c r="E195" s="1">
        <v>23098.0</v>
      </c>
      <c r="F195" s="1">
        <v>579.29</v>
      </c>
      <c r="G195" s="1">
        <v>37.8</v>
      </c>
      <c r="H195" s="1">
        <v>94.0</v>
      </c>
      <c r="I195" s="1">
        <v>3.0</v>
      </c>
      <c r="J195" s="1">
        <v>2.0</v>
      </c>
      <c r="K195" s="1">
        <v>12.0</v>
      </c>
      <c r="L195" s="1" t="b">
        <v>1</v>
      </c>
      <c r="M195" s="1" t="b">
        <v>0</v>
      </c>
      <c r="N195" s="1" t="b">
        <v>0</v>
      </c>
      <c r="O195" s="1" t="b">
        <v>1</v>
      </c>
      <c r="P195" s="1" t="b">
        <v>1</v>
      </c>
      <c r="Q195" s="1" t="b">
        <v>1</v>
      </c>
      <c r="R195" s="1" t="b">
        <v>0</v>
      </c>
      <c r="S195" s="1" t="s">
        <v>51</v>
      </c>
      <c r="T195" s="1" t="s">
        <v>137</v>
      </c>
      <c r="U195" s="1" t="s">
        <v>53</v>
      </c>
      <c r="V195" s="1">
        <v>5.0</v>
      </c>
      <c r="W195" s="1">
        <v>8.0</v>
      </c>
      <c r="X195" s="1">
        <v>28.0</v>
      </c>
      <c r="Y195" s="1">
        <v>1.0</v>
      </c>
      <c r="Z195" s="1" t="s">
        <v>54</v>
      </c>
      <c r="AA195" s="1" t="b">
        <v>1</v>
      </c>
      <c r="AB195" s="1">
        <v>397.0</v>
      </c>
      <c r="AC195" s="1" t="b">
        <v>0</v>
      </c>
      <c r="AD195" s="1">
        <v>31.0</v>
      </c>
      <c r="AE195" s="1">
        <v>8.0</v>
      </c>
      <c r="AF195" s="3">
        <v>46157.0</v>
      </c>
      <c r="AG195" s="1" t="s">
        <v>55</v>
      </c>
      <c r="AH195" s="1" t="s">
        <v>72</v>
      </c>
      <c r="AI195" s="1" t="s">
        <v>72</v>
      </c>
      <c r="AJ195" s="1" t="s">
        <v>58</v>
      </c>
      <c r="AK195" s="1">
        <v>81621.0</v>
      </c>
      <c r="AL195" s="1" t="s">
        <v>59</v>
      </c>
      <c r="AM195" s="1" t="s">
        <v>60</v>
      </c>
      <c r="AN195" s="4" t="s">
        <v>786</v>
      </c>
      <c r="AO195" s="4" t="s">
        <v>787</v>
      </c>
      <c r="AP195" s="1" t="s">
        <v>788</v>
      </c>
      <c r="AR195" s="1">
        <v>39.3788573062</v>
      </c>
      <c r="AS195" s="1">
        <v>-107.0840814071</v>
      </c>
      <c r="AT195" s="5">
        <f t="shared" si="1"/>
        <v>41.81394958</v>
      </c>
      <c r="AU195" s="5">
        <f t="shared" si="2"/>
        <v>44185.20588</v>
      </c>
      <c r="AV195" s="5">
        <f t="shared" si="3"/>
        <v>0.09599546611</v>
      </c>
      <c r="AW195" s="5">
        <f t="shared" si="4"/>
        <v>0.5935743731</v>
      </c>
      <c r="AX195" s="5">
        <f t="shared" si="5"/>
        <v>26227.20588</v>
      </c>
    </row>
    <row r="196">
      <c r="A196" s="1" t="s">
        <v>789</v>
      </c>
      <c r="B196" s="1">
        <v>3.4761196E7</v>
      </c>
      <c r="D196" s="1">
        <v>16186.0</v>
      </c>
      <c r="E196" s="1">
        <v>24184.0</v>
      </c>
      <c r="F196" s="1">
        <v>202.32</v>
      </c>
      <c r="G196" s="1">
        <v>67.8</v>
      </c>
      <c r="H196" s="1">
        <v>206.0</v>
      </c>
      <c r="I196" s="1">
        <v>1.0</v>
      </c>
      <c r="J196" s="1">
        <v>1.0</v>
      </c>
      <c r="K196" s="1">
        <v>2.0</v>
      </c>
      <c r="L196" s="1" t="b">
        <v>1</v>
      </c>
      <c r="M196" s="1" t="b">
        <v>0</v>
      </c>
      <c r="N196" s="1" t="b">
        <v>0</v>
      </c>
      <c r="O196" s="1" t="b">
        <v>1</v>
      </c>
      <c r="P196" s="1" t="b">
        <v>1</v>
      </c>
      <c r="Q196" s="1" t="b">
        <v>1</v>
      </c>
      <c r="R196" s="1" t="b">
        <v>0</v>
      </c>
      <c r="S196" s="1" t="s">
        <v>51</v>
      </c>
      <c r="T196" s="1" t="s">
        <v>65</v>
      </c>
      <c r="U196" s="1" t="s">
        <v>53</v>
      </c>
      <c r="V196" s="1">
        <v>4.9</v>
      </c>
      <c r="W196" s="1">
        <v>8.0</v>
      </c>
      <c r="X196" s="1">
        <v>3.0</v>
      </c>
      <c r="Y196" s="2">
        <v>46193.0</v>
      </c>
      <c r="Z196" s="1" t="s">
        <v>54</v>
      </c>
      <c r="AA196" s="1" t="b">
        <v>1</v>
      </c>
      <c r="AB196" s="1">
        <v>119.0</v>
      </c>
      <c r="AC196" s="1" t="b">
        <v>0</v>
      </c>
      <c r="AD196" s="1">
        <v>80.0</v>
      </c>
      <c r="AE196" s="1">
        <v>4.0</v>
      </c>
      <c r="AF196" s="3">
        <v>46155.0</v>
      </c>
      <c r="AG196" s="1" t="s">
        <v>55</v>
      </c>
      <c r="AH196" s="1" t="s">
        <v>72</v>
      </c>
      <c r="AI196" s="1" t="s">
        <v>56</v>
      </c>
      <c r="AJ196" s="1" t="s">
        <v>58</v>
      </c>
      <c r="AK196" s="1">
        <v>81623.0</v>
      </c>
      <c r="AL196" s="1" t="s">
        <v>59</v>
      </c>
      <c r="AM196" s="1" t="s">
        <v>60</v>
      </c>
      <c r="AN196" s="4" t="s">
        <v>790</v>
      </c>
      <c r="AO196" s="4" t="s">
        <v>791</v>
      </c>
      <c r="AP196" s="1" t="s">
        <v>792</v>
      </c>
      <c r="AR196" s="1">
        <v>39.3866104314</v>
      </c>
      <c r="AS196" s="1">
        <v>-107.0872822449</v>
      </c>
      <c r="AT196" s="5">
        <f t="shared" si="1"/>
        <v>41.81394958</v>
      </c>
      <c r="AU196" s="5">
        <f t="shared" si="2"/>
        <v>44185.20588</v>
      </c>
      <c r="AV196" s="5">
        <f t="shared" si="3"/>
        <v>-0.6214684497</v>
      </c>
      <c r="AW196" s="5">
        <f t="shared" si="4"/>
        <v>0.633678294</v>
      </c>
      <c r="AX196" s="5">
        <f t="shared" si="5"/>
        <v>27999.20588</v>
      </c>
    </row>
    <row r="197">
      <c r="A197" s="1" t="s">
        <v>793</v>
      </c>
      <c r="B197" s="1">
        <v>1.65857885E8</v>
      </c>
      <c r="D197" s="1">
        <v>15345.0</v>
      </c>
      <c r="E197" s="1">
        <v>15382.0</v>
      </c>
      <c r="F197" s="1">
        <v>300.88</v>
      </c>
      <c r="G197" s="1">
        <v>25.76</v>
      </c>
      <c r="H197" s="1">
        <v>364.0</v>
      </c>
      <c r="I197" s="1">
        <v>1.0</v>
      </c>
      <c r="J197" s="1">
        <v>1.0</v>
      </c>
      <c r="K197" s="1">
        <v>2.0</v>
      </c>
      <c r="L197" s="1" t="b">
        <v>0</v>
      </c>
      <c r="M197" s="1" t="b">
        <v>0</v>
      </c>
      <c r="N197" s="1" t="b">
        <v>0</v>
      </c>
      <c r="O197" s="1" t="b">
        <v>1</v>
      </c>
      <c r="P197" s="1" t="b">
        <v>1</v>
      </c>
      <c r="Q197" s="1" t="b">
        <v>1</v>
      </c>
      <c r="R197" s="1" t="b">
        <v>0</v>
      </c>
      <c r="S197" s="1" t="s">
        <v>51</v>
      </c>
      <c r="T197" s="1" t="s">
        <v>794</v>
      </c>
      <c r="U197" s="1" t="s">
        <v>257</v>
      </c>
      <c r="V197" s="1">
        <v>5.0</v>
      </c>
      <c r="W197" s="1">
        <v>2.0</v>
      </c>
      <c r="X197" s="1">
        <v>2.0</v>
      </c>
      <c r="Y197" s="2">
        <v>46058.0</v>
      </c>
      <c r="Z197" s="1" t="s">
        <v>54</v>
      </c>
      <c r="AA197" s="1" t="b">
        <v>0</v>
      </c>
      <c r="AB197" s="1">
        <v>126.0</v>
      </c>
      <c r="AC197" s="1" t="b">
        <v>0</v>
      </c>
      <c r="AD197" s="1">
        <v>51.0</v>
      </c>
      <c r="AE197" s="1">
        <v>12.0</v>
      </c>
      <c r="AF197" s="3">
        <v>46157.0</v>
      </c>
      <c r="AG197" s="1" t="s">
        <v>55</v>
      </c>
      <c r="AH197" s="1" t="s">
        <v>72</v>
      </c>
      <c r="AI197" s="1" t="s">
        <v>56</v>
      </c>
      <c r="AJ197" s="1" t="s">
        <v>58</v>
      </c>
      <c r="AK197" s="1">
        <v>81623.0</v>
      </c>
      <c r="AL197" s="1" t="s">
        <v>59</v>
      </c>
      <c r="AM197" s="1" t="s">
        <v>60</v>
      </c>
      <c r="AN197" s="4" t="s">
        <v>795</v>
      </c>
      <c r="AO197" s="4" t="s">
        <v>796</v>
      </c>
      <c r="AP197" s="1" t="s">
        <v>797</v>
      </c>
      <c r="AR197" s="1">
        <v>39.3790606308</v>
      </c>
      <c r="AS197" s="1">
        <v>-107.0776490492</v>
      </c>
      <c r="AT197" s="5">
        <f t="shared" si="1"/>
        <v>41.81394958</v>
      </c>
      <c r="AU197" s="5">
        <f t="shared" si="2"/>
        <v>44185.20588</v>
      </c>
      <c r="AV197" s="5">
        <f t="shared" si="3"/>
        <v>0.383937651</v>
      </c>
      <c r="AW197" s="5">
        <f t="shared" si="4"/>
        <v>0.652711814</v>
      </c>
      <c r="AX197" s="5">
        <f t="shared" si="5"/>
        <v>28840.20588</v>
      </c>
    </row>
    <row r="198">
      <c r="A198" s="1" t="s">
        <v>798</v>
      </c>
      <c r="B198" s="1">
        <v>3.80387084E8</v>
      </c>
      <c r="D198" s="1">
        <v>15334.0</v>
      </c>
      <c r="E198" s="1">
        <v>18285.0</v>
      </c>
      <c r="F198" s="1">
        <v>278.8</v>
      </c>
      <c r="G198" s="1">
        <v>36.67</v>
      </c>
      <c r="H198" s="1">
        <v>225.0</v>
      </c>
      <c r="I198" s="1">
        <v>1.0</v>
      </c>
      <c r="J198" s="1">
        <v>1.0</v>
      </c>
      <c r="K198" s="1">
        <v>4.0</v>
      </c>
      <c r="L198" s="1" t="b">
        <v>1</v>
      </c>
      <c r="M198" s="1" t="b">
        <v>0</v>
      </c>
      <c r="N198" s="1" t="b">
        <v>1</v>
      </c>
      <c r="O198" s="1" t="b">
        <v>1</v>
      </c>
      <c r="P198" s="1" t="b">
        <v>1</v>
      </c>
      <c r="Q198" s="1" t="b">
        <v>0</v>
      </c>
      <c r="R198" s="1" t="b">
        <v>0</v>
      </c>
      <c r="S198" s="1" t="s">
        <v>51</v>
      </c>
      <c r="T198" s="1" t="s">
        <v>794</v>
      </c>
      <c r="U198" s="1" t="s">
        <v>257</v>
      </c>
      <c r="V198" s="1">
        <v>4.2</v>
      </c>
      <c r="W198" s="1">
        <v>26.0</v>
      </c>
      <c r="X198" s="1">
        <v>4.0</v>
      </c>
      <c r="Y198" s="2">
        <v>46193.0</v>
      </c>
      <c r="Z198" s="1" t="s">
        <v>54</v>
      </c>
      <c r="AA198" s="1" t="b">
        <v>1</v>
      </c>
      <c r="AB198" s="1">
        <v>89.0</v>
      </c>
      <c r="AC198" s="1" t="b">
        <v>1</v>
      </c>
      <c r="AD198" s="1">
        <v>55.0</v>
      </c>
      <c r="AE198" s="1">
        <v>13.0</v>
      </c>
      <c r="AF198" s="3">
        <v>45552.0</v>
      </c>
      <c r="AG198" s="1" t="s">
        <v>55</v>
      </c>
      <c r="AH198" s="1" t="s">
        <v>55</v>
      </c>
      <c r="AI198" s="1" t="s">
        <v>55</v>
      </c>
      <c r="AJ198" s="1" t="s">
        <v>58</v>
      </c>
      <c r="AK198" s="1">
        <v>81601.0</v>
      </c>
      <c r="AL198" s="1" t="s">
        <v>59</v>
      </c>
      <c r="AM198" s="1" t="s">
        <v>60</v>
      </c>
      <c r="AN198" s="4" t="s">
        <v>799</v>
      </c>
      <c r="AO198" s="4" t="s">
        <v>800</v>
      </c>
      <c r="AP198" s="1" t="s">
        <v>801</v>
      </c>
      <c r="AQ198" s="1">
        <v>4027980.0</v>
      </c>
      <c r="AR198" s="1">
        <v>39.56241</v>
      </c>
      <c r="AS198" s="1">
        <v>-107.29033</v>
      </c>
      <c r="AT198" s="5">
        <f t="shared" si="1"/>
        <v>41.81394958</v>
      </c>
      <c r="AU198" s="5">
        <f t="shared" si="2"/>
        <v>44185.20588</v>
      </c>
      <c r="AV198" s="5">
        <f t="shared" si="3"/>
        <v>0.1230199403</v>
      </c>
      <c r="AW198" s="5">
        <f t="shared" si="4"/>
        <v>0.6529607661</v>
      </c>
      <c r="AX198" s="5">
        <f t="shared" si="5"/>
        <v>28851.20588</v>
      </c>
    </row>
    <row r="199">
      <c r="A199" s="1" t="s">
        <v>750</v>
      </c>
      <c r="B199" s="1">
        <v>6.66222971E8</v>
      </c>
      <c r="D199" s="1">
        <v>15291.0</v>
      </c>
      <c r="E199" s="1">
        <v>17444.0</v>
      </c>
      <c r="F199" s="1">
        <v>246.63</v>
      </c>
      <c r="G199" s="1">
        <v>31.16</v>
      </c>
      <c r="H199" s="1">
        <v>341.0</v>
      </c>
      <c r="I199" s="1">
        <v>1.0</v>
      </c>
      <c r="J199" s="1">
        <v>1.0</v>
      </c>
      <c r="K199" s="1">
        <v>4.0</v>
      </c>
      <c r="L199" s="1" t="b">
        <v>0</v>
      </c>
      <c r="M199" s="1" t="b">
        <v>0</v>
      </c>
      <c r="N199" s="1" t="b">
        <v>0</v>
      </c>
      <c r="O199" s="1" t="b">
        <v>0</v>
      </c>
      <c r="P199" s="1" t="b">
        <v>1</v>
      </c>
      <c r="Q199" s="1" t="b">
        <v>0</v>
      </c>
      <c r="R199" s="1" t="b">
        <v>0</v>
      </c>
      <c r="S199" s="1" t="s">
        <v>51</v>
      </c>
      <c r="T199" s="1" t="s">
        <v>209</v>
      </c>
      <c r="U199" s="1" t="s">
        <v>164</v>
      </c>
      <c r="V199" s="1">
        <v>4.95</v>
      </c>
      <c r="W199" s="1">
        <v>19.0</v>
      </c>
      <c r="X199" s="1">
        <v>2.0</v>
      </c>
      <c r="Y199" s="2">
        <v>46193.0</v>
      </c>
      <c r="Z199" s="1" t="s">
        <v>54</v>
      </c>
      <c r="AA199" s="1" t="b">
        <v>1</v>
      </c>
      <c r="AB199" s="1">
        <v>0.0</v>
      </c>
      <c r="AC199" s="1" t="b">
        <v>0</v>
      </c>
      <c r="AD199" s="1">
        <v>62.0</v>
      </c>
      <c r="AE199" s="1">
        <v>19.0</v>
      </c>
      <c r="AF199" s="3">
        <v>46158.0</v>
      </c>
      <c r="AG199" s="1" t="s">
        <v>55</v>
      </c>
      <c r="AH199" s="1" t="s">
        <v>72</v>
      </c>
      <c r="AI199" s="1" t="s">
        <v>72</v>
      </c>
      <c r="AJ199" s="1" t="s">
        <v>58</v>
      </c>
      <c r="AK199" s="1">
        <v>81621.0</v>
      </c>
      <c r="AL199" s="1" t="s">
        <v>59</v>
      </c>
      <c r="AM199" s="1" t="s">
        <v>60</v>
      </c>
      <c r="AN199" s="4" t="s">
        <v>802</v>
      </c>
      <c r="AO199" s="4" t="s">
        <v>752</v>
      </c>
      <c r="AP199" s="1" t="s">
        <v>803</v>
      </c>
      <c r="AR199" s="1">
        <v>39.3687890246</v>
      </c>
      <c r="AS199" s="1">
        <v>-107.0312713627</v>
      </c>
      <c r="AT199" s="5">
        <f t="shared" si="1"/>
        <v>41.81394958</v>
      </c>
      <c r="AU199" s="5">
        <f t="shared" si="2"/>
        <v>44185.20588</v>
      </c>
      <c r="AV199" s="5">
        <f t="shared" si="3"/>
        <v>0.2547941461</v>
      </c>
      <c r="AW199" s="5">
        <f t="shared" si="4"/>
        <v>0.6539339425</v>
      </c>
      <c r="AX199" s="5">
        <f t="shared" si="5"/>
        <v>28894.20588</v>
      </c>
    </row>
    <row r="200">
      <c r="A200" s="1" t="s">
        <v>804</v>
      </c>
      <c r="B200" s="1">
        <v>1.65857885E8</v>
      </c>
      <c r="D200" s="1">
        <v>11958.0</v>
      </c>
      <c r="E200" s="1">
        <v>13253.0</v>
      </c>
      <c r="F200" s="1">
        <v>569.43</v>
      </c>
      <c r="G200" s="1">
        <v>15.91</v>
      </c>
      <c r="H200" s="1">
        <v>357.0</v>
      </c>
      <c r="I200" s="1">
        <v>2.0</v>
      </c>
      <c r="K200" s="1">
        <v>4.0</v>
      </c>
      <c r="L200" s="1" t="b">
        <v>0</v>
      </c>
      <c r="M200" s="1" t="b">
        <v>0</v>
      </c>
      <c r="N200" s="1" t="b">
        <v>0</v>
      </c>
      <c r="O200" s="1" t="b">
        <v>1</v>
      </c>
      <c r="P200" s="1" t="b">
        <v>1</v>
      </c>
      <c r="Q200" s="1" t="b">
        <v>1</v>
      </c>
      <c r="R200" s="1" t="b">
        <v>0</v>
      </c>
      <c r="S200" s="1" t="s">
        <v>51</v>
      </c>
      <c r="T200" s="1" t="s">
        <v>65</v>
      </c>
      <c r="U200" s="1" t="s">
        <v>53</v>
      </c>
      <c r="V200" s="1">
        <v>4.65</v>
      </c>
      <c r="W200" s="1">
        <v>15.0</v>
      </c>
      <c r="X200" s="1">
        <v>2.0</v>
      </c>
      <c r="Y200" s="2">
        <v>46058.0</v>
      </c>
      <c r="Z200" s="1" t="s">
        <v>54</v>
      </c>
      <c r="AA200" s="1" t="b">
        <v>0</v>
      </c>
      <c r="AB200" s="1">
        <v>175.0</v>
      </c>
      <c r="AC200" s="1" t="b">
        <v>0</v>
      </c>
      <c r="AD200" s="1">
        <v>21.0</v>
      </c>
      <c r="AE200" s="1">
        <v>5.0</v>
      </c>
      <c r="AF200" s="3">
        <v>46155.0</v>
      </c>
      <c r="AG200" s="1" t="s">
        <v>55</v>
      </c>
      <c r="AH200" s="1" t="s">
        <v>72</v>
      </c>
      <c r="AI200" s="1" t="s">
        <v>56</v>
      </c>
      <c r="AJ200" s="1" t="s">
        <v>58</v>
      </c>
      <c r="AK200" s="1">
        <v>81623.0</v>
      </c>
      <c r="AL200" s="1" t="s">
        <v>59</v>
      </c>
      <c r="AM200" s="1" t="s">
        <v>60</v>
      </c>
      <c r="AN200" s="4" t="s">
        <v>805</v>
      </c>
      <c r="AO200" s="4" t="s">
        <v>806</v>
      </c>
      <c r="AP200" s="1">
        <v>2.2567476E7</v>
      </c>
      <c r="AQ200" s="1">
        <v>4091459.0</v>
      </c>
      <c r="AR200" s="1">
        <v>39.38086</v>
      </c>
      <c r="AS200" s="1">
        <v>-107.07633</v>
      </c>
      <c r="AT200" s="5">
        <f t="shared" si="1"/>
        <v>41.81394958</v>
      </c>
      <c r="AU200" s="5">
        <f t="shared" si="2"/>
        <v>44185.20588</v>
      </c>
      <c r="AV200" s="5">
        <f t="shared" si="3"/>
        <v>0.61950497</v>
      </c>
      <c r="AW200" s="5">
        <f t="shared" si="4"/>
        <v>0.7293664302</v>
      </c>
      <c r="AX200" s="5">
        <f t="shared" si="5"/>
        <v>32227.20588</v>
      </c>
    </row>
    <row r="201">
      <c r="A201" s="1" t="s">
        <v>807</v>
      </c>
      <c r="B201" s="1" t="s">
        <v>190</v>
      </c>
      <c r="D201" s="1">
        <v>11710.0</v>
      </c>
      <c r="E201" s="1">
        <v>18518.0</v>
      </c>
      <c r="F201" s="1">
        <v>780.67</v>
      </c>
      <c r="G201" s="1">
        <v>26.32</v>
      </c>
      <c r="H201" s="1">
        <v>93.0</v>
      </c>
      <c r="I201" s="1">
        <v>4.0</v>
      </c>
      <c r="J201" s="1">
        <v>4.0</v>
      </c>
      <c r="K201" s="1">
        <v>8.0</v>
      </c>
      <c r="L201" s="1" t="b">
        <v>1</v>
      </c>
      <c r="M201" s="1" t="b">
        <v>0</v>
      </c>
      <c r="N201" s="1" t="b">
        <v>1</v>
      </c>
      <c r="O201" s="1" t="b">
        <v>1</v>
      </c>
      <c r="P201" s="1" t="b">
        <v>1</v>
      </c>
      <c r="Q201" s="1" t="b">
        <v>0</v>
      </c>
      <c r="R201" s="1" t="b">
        <v>0</v>
      </c>
      <c r="S201" s="1" t="s">
        <v>51</v>
      </c>
      <c r="T201" s="1" t="s">
        <v>65</v>
      </c>
      <c r="U201" s="1" t="s">
        <v>53</v>
      </c>
      <c r="V201" s="1">
        <v>4.5</v>
      </c>
      <c r="W201" s="1">
        <v>8.0</v>
      </c>
      <c r="X201" s="1">
        <v>3.0</v>
      </c>
      <c r="Y201" s="1" t="s">
        <v>71</v>
      </c>
      <c r="Z201" s="1" t="s">
        <v>54</v>
      </c>
      <c r="AA201" s="1" t="b">
        <v>0</v>
      </c>
      <c r="AB201" s="1">
        <v>0.0</v>
      </c>
      <c r="AC201" s="1" t="b">
        <v>0</v>
      </c>
      <c r="AD201" s="1">
        <v>15.0</v>
      </c>
      <c r="AE201" s="1">
        <v>5.0</v>
      </c>
      <c r="AF201" s="3">
        <v>46153.0</v>
      </c>
      <c r="AG201" s="1" t="s">
        <v>55</v>
      </c>
      <c r="AH201" s="1" t="s">
        <v>55</v>
      </c>
      <c r="AI201" s="1" t="s">
        <v>55</v>
      </c>
      <c r="AJ201" s="1" t="s">
        <v>58</v>
      </c>
      <c r="AK201" s="1">
        <v>81601.0</v>
      </c>
      <c r="AL201" s="1" t="s">
        <v>59</v>
      </c>
      <c r="AM201" s="1" t="s">
        <v>60</v>
      </c>
      <c r="AN201" s="4" t="s">
        <v>808</v>
      </c>
      <c r="AO201" s="4" t="s">
        <v>809</v>
      </c>
      <c r="AP201" s="1" t="s">
        <v>810</v>
      </c>
      <c r="AQ201" s="1">
        <v>4170350.0</v>
      </c>
      <c r="AR201" s="1">
        <v>39.544</v>
      </c>
      <c r="AS201" s="1">
        <v>-107.3272</v>
      </c>
      <c r="AT201" s="5">
        <f t="shared" si="1"/>
        <v>41.81394958</v>
      </c>
      <c r="AU201" s="5">
        <f t="shared" si="2"/>
        <v>44185.20588</v>
      </c>
      <c r="AV201" s="5">
        <f t="shared" si="3"/>
        <v>0.3705449912</v>
      </c>
      <c r="AW201" s="5">
        <f t="shared" si="4"/>
        <v>0.7349791686</v>
      </c>
      <c r="AX201" s="5">
        <f t="shared" si="5"/>
        <v>32475.20588</v>
      </c>
    </row>
    <row r="202">
      <c r="A202" s="1" t="s">
        <v>811</v>
      </c>
      <c r="D202" s="1">
        <v>10084.0</v>
      </c>
      <c r="E202" s="1">
        <v>20265.0</v>
      </c>
      <c r="F202" s="1">
        <v>840.33</v>
      </c>
      <c r="G202" s="1">
        <v>70.59</v>
      </c>
      <c r="H202" s="1">
        <v>71.0</v>
      </c>
      <c r="I202" s="1">
        <v>4.0</v>
      </c>
      <c r="J202" s="1">
        <v>4.0</v>
      </c>
      <c r="K202" s="1">
        <v>10.0</v>
      </c>
      <c r="L202" s="1" t="b">
        <v>1</v>
      </c>
      <c r="M202" s="1" t="b">
        <v>0</v>
      </c>
      <c r="N202" s="1" t="b">
        <v>1</v>
      </c>
      <c r="O202" s="1" t="b">
        <v>1</v>
      </c>
      <c r="P202" s="1" t="b">
        <v>0</v>
      </c>
      <c r="Q202" s="1" t="b">
        <v>0</v>
      </c>
      <c r="R202" s="1" t="b">
        <v>0</v>
      </c>
      <c r="S202" s="1" t="s">
        <v>51</v>
      </c>
      <c r="T202" s="1" t="s">
        <v>65</v>
      </c>
      <c r="U202" s="1" t="s">
        <v>53</v>
      </c>
      <c r="V202" s="1">
        <v>0.0</v>
      </c>
      <c r="W202" s="1">
        <v>0.0</v>
      </c>
      <c r="X202" s="1">
        <v>3.0</v>
      </c>
      <c r="Y202" s="1">
        <v>1.0</v>
      </c>
      <c r="Z202" s="1" t="s">
        <v>54</v>
      </c>
      <c r="AA202" s="1" t="b">
        <v>0</v>
      </c>
      <c r="AB202" s="1">
        <v>0.0</v>
      </c>
      <c r="AC202" s="1" t="b">
        <v>0</v>
      </c>
      <c r="AD202" s="1">
        <v>12.0</v>
      </c>
      <c r="AE202" s="1">
        <v>2.0</v>
      </c>
      <c r="AF202" s="3">
        <v>45995.0</v>
      </c>
      <c r="AG202" s="1" t="s">
        <v>55</v>
      </c>
      <c r="AH202" s="1" t="s">
        <v>55</v>
      </c>
      <c r="AI202" s="1" t="s">
        <v>55</v>
      </c>
      <c r="AJ202" s="1" t="s">
        <v>58</v>
      </c>
      <c r="AK202" s="1">
        <v>81601.0</v>
      </c>
      <c r="AL202" s="1" t="s">
        <v>59</v>
      </c>
      <c r="AM202" s="1" t="s">
        <v>60</v>
      </c>
      <c r="AN202" s="4" t="s">
        <v>812</v>
      </c>
      <c r="AO202" s="4" t="s">
        <v>813</v>
      </c>
      <c r="AQ202" s="1">
        <v>4948473.0</v>
      </c>
      <c r="AR202" s="1">
        <v>39.469906</v>
      </c>
      <c r="AS202" s="1">
        <v>-107.274475</v>
      </c>
      <c r="AT202" s="5">
        <f t="shared" si="1"/>
        <v>41.81394958</v>
      </c>
      <c r="AU202" s="5">
        <f t="shared" si="2"/>
        <v>44185.20588</v>
      </c>
      <c r="AV202" s="5">
        <f t="shared" si="3"/>
        <v>-0.6881925938</v>
      </c>
      <c r="AW202" s="5">
        <f t="shared" si="4"/>
        <v>0.771778816</v>
      </c>
      <c r="AX202" s="5">
        <f t="shared" si="5"/>
        <v>34101.20588</v>
      </c>
    </row>
    <row r="203">
      <c r="A203" s="1" t="s">
        <v>814</v>
      </c>
      <c r="B203" s="1">
        <v>1.82981599E8</v>
      </c>
      <c r="D203" s="1">
        <v>9747.0</v>
      </c>
      <c r="E203" s="1">
        <v>11696.0</v>
      </c>
      <c r="F203" s="1">
        <v>513.0</v>
      </c>
      <c r="G203" s="1">
        <v>41.3</v>
      </c>
      <c r="H203" s="1">
        <v>115.0</v>
      </c>
      <c r="I203" s="1">
        <v>3.0</v>
      </c>
      <c r="J203" s="1">
        <v>3.0</v>
      </c>
      <c r="K203" s="1">
        <v>6.0</v>
      </c>
      <c r="L203" s="1" t="b">
        <v>0</v>
      </c>
      <c r="M203" s="1" t="b">
        <v>0</v>
      </c>
      <c r="N203" s="1" t="b">
        <v>0</v>
      </c>
      <c r="O203" s="1" t="b">
        <v>1</v>
      </c>
      <c r="P203" s="1" t="b">
        <v>1</v>
      </c>
      <c r="Q203" s="1" t="b">
        <v>1</v>
      </c>
      <c r="R203" s="1" t="b">
        <v>0</v>
      </c>
      <c r="S203" s="1" t="s">
        <v>51</v>
      </c>
      <c r="T203" s="1" t="s">
        <v>65</v>
      </c>
      <c r="U203" s="1" t="s">
        <v>53</v>
      </c>
      <c r="V203" s="1">
        <v>5.0</v>
      </c>
      <c r="W203" s="1">
        <v>23.0</v>
      </c>
      <c r="X203" s="1">
        <v>13.0</v>
      </c>
      <c r="Y203" s="1">
        <v>1.0</v>
      </c>
      <c r="Z203" s="1" t="s">
        <v>54</v>
      </c>
      <c r="AA203" s="1" t="b">
        <v>0</v>
      </c>
      <c r="AB203" s="1">
        <v>250.0</v>
      </c>
      <c r="AC203" s="1" t="b">
        <v>0</v>
      </c>
      <c r="AD203" s="1">
        <v>19.0</v>
      </c>
      <c r="AE203" s="1">
        <v>1.0</v>
      </c>
      <c r="AF203" s="3">
        <v>45511.0</v>
      </c>
      <c r="AG203" s="1" t="s">
        <v>55</v>
      </c>
      <c r="AH203" s="1" t="s">
        <v>72</v>
      </c>
      <c r="AI203" s="1" t="s">
        <v>56</v>
      </c>
      <c r="AJ203" s="1" t="s">
        <v>58</v>
      </c>
      <c r="AK203" s="1">
        <v>81623.0</v>
      </c>
      <c r="AL203" s="1" t="s">
        <v>59</v>
      </c>
      <c r="AM203" s="1" t="s">
        <v>60</v>
      </c>
      <c r="AN203" s="4" t="s">
        <v>815</v>
      </c>
      <c r="AO203" s="4" t="s">
        <v>816</v>
      </c>
      <c r="AP203" s="1">
        <v>2.4264947E7</v>
      </c>
      <c r="AQ203" s="1">
        <v>1213870.0</v>
      </c>
      <c r="AR203" s="1">
        <v>39.42363</v>
      </c>
      <c r="AS203" s="1">
        <v>-107.08769</v>
      </c>
      <c r="AT203" s="5">
        <f t="shared" si="1"/>
        <v>41.81394958</v>
      </c>
      <c r="AU203" s="5">
        <f t="shared" si="2"/>
        <v>44185.20588</v>
      </c>
      <c r="AV203" s="5">
        <f t="shared" si="3"/>
        <v>0.0122913426</v>
      </c>
      <c r="AW203" s="5">
        <f t="shared" si="4"/>
        <v>0.7794058032</v>
      </c>
      <c r="AX203" s="5">
        <f t="shared" si="5"/>
        <v>34438.20588</v>
      </c>
    </row>
    <row r="204">
      <c r="A204" s="1" t="s">
        <v>817</v>
      </c>
      <c r="D204" s="1">
        <v>9542.0</v>
      </c>
      <c r="E204" s="1">
        <v>28178.0</v>
      </c>
      <c r="F204" s="1">
        <v>502.21</v>
      </c>
      <c r="G204" s="1">
        <v>31.15</v>
      </c>
      <c r="H204" s="1">
        <v>114.0</v>
      </c>
      <c r="I204" s="1">
        <v>1.0</v>
      </c>
      <c r="J204" s="1">
        <v>1.0</v>
      </c>
      <c r="K204" s="1">
        <v>2.0</v>
      </c>
      <c r="L204" s="1" t="b">
        <v>1</v>
      </c>
      <c r="M204" s="1" t="b">
        <v>0</v>
      </c>
      <c r="N204" s="1" t="b">
        <v>0</v>
      </c>
      <c r="O204" s="1" t="b">
        <v>1</v>
      </c>
      <c r="P204" s="1" t="b">
        <v>1</v>
      </c>
      <c r="Q204" s="1" t="b">
        <v>1</v>
      </c>
      <c r="R204" s="1" t="b">
        <v>0</v>
      </c>
      <c r="S204" s="1" t="s">
        <v>51</v>
      </c>
      <c r="T204" s="1" t="s">
        <v>163</v>
      </c>
      <c r="U204" s="1" t="s">
        <v>164</v>
      </c>
      <c r="V204" s="1">
        <v>4.9</v>
      </c>
      <c r="W204" s="1">
        <v>20.0</v>
      </c>
      <c r="X204" s="1">
        <v>3.0</v>
      </c>
      <c r="Y204" s="1">
        <v>1.0</v>
      </c>
      <c r="Z204" s="1" t="s">
        <v>54</v>
      </c>
      <c r="AA204" s="1" t="b">
        <v>0</v>
      </c>
      <c r="AB204" s="1">
        <v>175.0</v>
      </c>
      <c r="AC204" s="1" t="b">
        <v>1</v>
      </c>
      <c r="AD204" s="1">
        <v>19.0</v>
      </c>
      <c r="AE204" s="1">
        <v>4.0</v>
      </c>
      <c r="AF204" s="3">
        <v>46158.0</v>
      </c>
      <c r="AG204" s="1" t="s">
        <v>55</v>
      </c>
      <c r="AH204" s="1" t="s">
        <v>72</v>
      </c>
      <c r="AI204" s="1" t="s">
        <v>72</v>
      </c>
      <c r="AJ204" s="1" t="s">
        <v>58</v>
      </c>
      <c r="AK204" s="1">
        <v>81621.0</v>
      </c>
      <c r="AL204" s="1" t="s">
        <v>59</v>
      </c>
      <c r="AM204" s="1" t="s">
        <v>60</v>
      </c>
      <c r="AN204" s="4" t="s">
        <v>818</v>
      </c>
      <c r="AO204" s="4" t="s">
        <v>819</v>
      </c>
      <c r="AQ204" s="1">
        <v>2151975.0</v>
      </c>
      <c r="AR204" s="1">
        <v>39.370785</v>
      </c>
      <c r="AS204" s="1">
        <v>-107.030492</v>
      </c>
      <c r="AT204" s="5">
        <f t="shared" si="1"/>
        <v>41.81394958</v>
      </c>
      <c r="AU204" s="5">
        <f t="shared" si="2"/>
        <v>44185.20588</v>
      </c>
      <c r="AV204" s="5">
        <f t="shared" si="3"/>
        <v>0.2550333008</v>
      </c>
      <c r="AW204" s="5">
        <f t="shared" si="4"/>
        <v>0.7840453652</v>
      </c>
      <c r="AX204" s="5">
        <f t="shared" si="5"/>
        <v>34643.20588</v>
      </c>
    </row>
    <row r="205">
      <c r="A205" s="1" t="s">
        <v>820</v>
      </c>
      <c r="B205" s="1">
        <v>6.99263825E8</v>
      </c>
      <c r="D205" s="1">
        <v>8394.0</v>
      </c>
      <c r="E205" s="1">
        <v>11626.0</v>
      </c>
      <c r="F205" s="1">
        <v>262.31</v>
      </c>
      <c r="G205" s="1">
        <v>30.77</v>
      </c>
      <c r="H205" s="1">
        <v>318.0</v>
      </c>
      <c r="I205" s="1">
        <v>1.0</v>
      </c>
      <c r="J205" s="1">
        <v>1.0</v>
      </c>
      <c r="K205" s="1">
        <v>3.0</v>
      </c>
      <c r="L205" s="1" t="b">
        <v>1</v>
      </c>
      <c r="M205" s="1" t="b">
        <v>0</v>
      </c>
      <c r="N205" s="1" t="b">
        <v>0</v>
      </c>
      <c r="O205" s="1" t="b">
        <v>1</v>
      </c>
      <c r="P205" s="1" t="b">
        <v>1</v>
      </c>
      <c r="Q205" s="1" t="b">
        <v>0</v>
      </c>
      <c r="R205" s="1" t="b">
        <v>0</v>
      </c>
      <c r="S205" s="1" t="s">
        <v>51</v>
      </c>
      <c r="T205" s="1" t="s">
        <v>447</v>
      </c>
      <c r="U205" s="1" t="s">
        <v>257</v>
      </c>
      <c r="V205" s="1">
        <v>3.15</v>
      </c>
      <c r="W205" s="1">
        <v>6.0</v>
      </c>
      <c r="X205" s="1">
        <v>1.0</v>
      </c>
      <c r="Y205" s="1">
        <v>1.0</v>
      </c>
      <c r="Z205" s="1" t="s">
        <v>54</v>
      </c>
      <c r="AA205" s="1" t="b">
        <v>0</v>
      </c>
      <c r="AB205" s="1">
        <v>118.0</v>
      </c>
      <c r="AC205" s="1" t="b">
        <v>1</v>
      </c>
      <c r="AD205" s="1">
        <v>32.0</v>
      </c>
      <c r="AE205" s="1">
        <v>12.0</v>
      </c>
      <c r="AF205" s="3">
        <v>46157.0</v>
      </c>
      <c r="AG205" s="1" t="s">
        <v>55</v>
      </c>
      <c r="AH205" s="1" t="s">
        <v>55</v>
      </c>
      <c r="AI205" s="1" t="s">
        <v>55</v>
      </c>
      <c r="AJ205" s="1" t="s">
        <v>58</v>
      </c>
      <c r="AK205" s="1">
        <v>81601.0</v>
      </c>
      <c r="AL205" s="1" t="s">
        <v>59</v>
      </c>
      <c r="AM205" s="1" t="s">
        <v>60</v>
      </c>
      <c r="AN205" s="4" t="s">
        <v>821</v>
      </c>
      <c r="AO205" s="4" t="s">
        <v>822</v>
      </c>
      <c r="AP205" s="1" t="s">
        <v>823</v>
      </c>
      <c r="AQ205" s="1">
        <v>4617252.0</v>
      </c>
      <c r="AR205" s="1">
        <v>39.56298</v>
      </c>
      <c r="AS205" s="1">
        <v>-107.29172</v>
      </c>
      <c r="AT205" s="5">
        <f t="shared" si="1"/>
        <v>41.81394958</v>
      </c>
      <c r="AU205" s="5">
        <f t="shared" si="2"/>
        <v>44185.20588</v>
      </c>
      <c r="AV205" s="5">
        <f t="shared" si="3"/>
        <v>0.264121177</v>
      </c>
      <c r="AW205" s="5">
        <f t="shared" si="4"/>
        <v>0.8100269121</v>
      </c>
      <c r="AX205" s="5">
        <f t="shared" si="5"/>
        <v>35791.20588</v>
      </c>
    </row>
    <row r="206">
      <c r="A206" s="1" t="s">
        <v>824</v>
      </c>
      <c r="D206" s="1">
        <v>7709.0</v>
      </c>
      <c r="E206" s="1">
        <v>8765.0</v>
      </c>
      <c r="F206" s="1">
        <v>963.62</v>
      </c>
      <c r="G206" s="1">
        <v>13.79</v>
      </c>
      <c r="H206" s="1">
        <v>136.0</v>
      </c>
      <c r="L206" s="1" t="b">
        <v>0</v>
      </c>
      <c r="M206" s="1" t="b">
        <v>0</v>
      </c>
      <c r="N206" s="1" t="b">
        <v>1</v>
      </c>
      <c r="O206" s="1" t="b">
        <v>0</v>
      </c>
      <c r="P206" s="1" t="b">
        <v>0</v>
      </c>
      <c r="Q206" s="1" t="b">
        <v>0</v>
      </c>
      <c r="R206" s="1" t="b">
        <v>0</v>
      </c>
      <c r="S206" s="1" t="s">
        <v>51</v>
      </c>
      <c r="T206" s="1" t="s">
        <v>825</v>
      </c>
      <c r="U206" s="1" t="s">
        <v>257</v>
      </c>
      <c r="V206" s="1">
        <v>0.0</v>
      </c>
      <c r="W206" s="1">
        <v>0.0</v>
      </c>
      <c r="X206" s="1">
        <v>3.0</v>
      </c>
      <c r="Y206" s="1">
        <v>1.0</v>
      </c>
      <c r="Z206" s="1" t="s">
        <v>54</v>
      </c>
      <c r="AA206" s="1" t="b">
        <v>0</v>
      </c>
      <c r="AB206" s="1">
        <v>452.0</v>
      </c>
      <c r="AC206" s="1" t="b">
        <v>0</v>
      </c>
      <c r="AD206" s="1">
        <v>8.0</v>
      </c>
      <c r="AE206" s="1">
        <v>6.0</v>
      </c>
      <c r="AF206" s="3">
        <v>46023.0</v>
      </c>
      <c r="AG206" s="1" t="s">
        <v>55</v>
      </c>
      <c r="AH206" s="1" t="s">
        <v>72</v>
      </c>
      <c r="AI206" s="1" t="s">
        <v>72</v>
      </c>
      <c r="AJ206" s="1" t="s">
        <v>58</v>
      </c>
      <c r="AK206" s="1">
        <v>81621.0</v>
      </c>
      <c r="AL206" s="1" t="s">
        <v>59</v>
      </c>
      <c r="AM206" s="1" t="s">
        <v>60</v>
      </c>
      <c r="AN206" s="4" t="s">
        <v>826</v>
      </c>
      <c r="AQ206" s="1">
        <v>2696923.0</v>
      </c>
      <c r="AR206" s="1">
        <v>39.384087</v>
      </c>
      <c r="AS206" s="1">
        <v>-106.96949</v>
      </c>
      <c r="AT206" s="5">
        <f t="shared" si="1"/>
        <v>41.81394958</v>
      </c>
      <c r="AU206" s="5">
        <f t="shared" si="2"/>
        <v>44185.20588</v>
      </c>
      <c r="AV206" s="5">
        <f t="shared" si="3"/>
        <v>0.6702057534</v>
      </c>
      <c r="AW206" s="5">
        <f t="shared" si="4"/>
        <v>0.8255298386</v>
      </c>
      <c r="AX206" s="5">
        <f t="shared" si="5"/>
        <v>36476.20588</v>
      </c>
    </row>
    <row r="207">
      <c r="A207" s="1" t="s">
        <v>827</v>
      </c>
      <c r="B207" s="1">
        <v>3.80387084E8</v>
      </c>
      <c r="D207" s="1">
        <v>7577.0</v>
      </c>
      <c r="E207" s="1">
        <v>46739.0</v>
      </c>
      <c r="F207" s="1">
        <v>210.47</v>
      </c>
      <c r="G207" s="1">
        <v>94.74</v>
      </c>
      <c r="H207" s="1">
        <v>40.0</v>
      </c>
      <c r="I207" s="1">
        <v>1.0</v>
      </c>
      <c r="J207" s="1">
        <v>1.0</v>
      </c>
      <c r="K207" s="1">
        <v>5.0</v>
      </c>
      <c r="L207" s="1" t="b">
        <v>1</v>
      </c>
      <c r="M207" s="1" t="b">
        <v>0</v>
      </c>
      <c r="N207" s="1" t="b">
        <v>0</v>
      </c>
      <c r="O207" s="1" t="b">
        <v>1</v>
      </c>
      <c r="P207" s="1" t="b">
        <v>1</v>
      </c>
      <c r="Q207" s="1" t="b">
        <v>1</v>
      </c>
      <c r="R207" s="1" t="b">
        <v>0</v>
      </c>
      <c r="S207" s="1" t="s">
        <v>51</v>
      </c>
      <c r="T207" s="1" t="s">
        <v>163</v>
      </c>
      <c r="U207" s="1" t="s">
        <v>164</v>
      </c>
      <c r="V207" s="1">
        <v>4.75</v>
      </c>
      <c r="W207" s="1">
        <v>37.0</v>
      </c>
      <c r="X207" s="1">
        <v>1.0</v>
      </c>
      <c r="Y207" s="2">
        <v>46193.0</v>
      </c>
      <c r="Z207" s="1" t="s">
        <v>54</v>
      </c>
      <c r="AA207" s="1" t="b">
        <v>0</v>
      </c>
      <c r="AB207" s="1">
        <v>116.0</v>
      </c>
      <c r="AC207" s="1" t="b">
        <v>1</v>
      </c>
      <c r="AD207" s="1">
        <v>36.0</v>
      </c>
      <c r="AE207" s="1">
        <v>3.0</v>
      </c>
      <c r="AF207" s="3">
        <v>46159.0</v>
      </c>
      <c r="AG207" s="1" t="s">
        <v>55</v>
      </c>
      <c r="AH207" s="1" t="s">
        <v>55</v>
      </c>
      <c r="AI207" s="1" t="s">
        <v>55</v>
      </c>
      <c r="AJ207" s="1" t="s">
        <v>58</v>
      </c>
      <c r="AK207" s="1">
        <v>81601.0</v>
      </c>
      <c r="AL207" s="1" t="s">
        <v>59</v>
      </c>
      <c r="AM207" s="1" t="s">
        <v>60</v>
      </c>
      <c r="AN207" s="4" t="s">
        <v>828</v>
      </c>
      <c r="AO207" s="4" t="s">
        <v>829</v>
      </c>
      <c r="AP207" s="1" t="s">
        <v>830</v>
      </c>
      <c r="AQ207" s="1">
        <v>4001595.0</v>
      </c>
      <c r="AR207" s="1">
        <v>39.5612</v>
      </c>
      <c r="AS207" s="1">
        <v>-107.2968</v>
      </c>
      <c r="AT207" s="5">
        <f t="shared" si="1"/>
        <v>41.81394958</v>
      </c>
      <c r="AU207" s="5">
        <f t="shared" si="2"/>
        <v>44185.20588</v>
      </c>
      <c r="AV207" s="5">
        <f t="shared" si="3"/>
        <v>-1.265751046</v>
      </c>
      <c r="AW207" s="5">
        <f t="shared" si="4"/>
        <v>0.8285172639</v>
      </c>
      <c r="AX207" s="5">
        <f t="shared" si="5"/>
        <v>36608.20588</v>
      </c>
    </row>
    <row r="208">
      <c r="A208" s="1" t="s">
        <v>831</v>
      </c>
      <c r="B208" s="1">
        <v>5836554.0</v>
      </c>
      <c r="D208" s="1">
        <v>6650.0</v>
      </c>
      <c r="E208" s="1">
        <v>7483.0</v>
      </c>
      <c r="F208" s="1">
        <v>246.3</v>
      </c>
      <c r="G208" s="1">
        <v>29.67</v>
      </c>
      <c r="H208" s="1">
        <v>110.0</v>
      </c>
      <c r="I208" s="1">
        <v>1.0</v>
      </c>
      <c r="J208" s="1">
        <v>1.0</v>
      </c>
      <c r="K208" s="1">
        <v>2.0</v>
      </c>
      <c r="L208" s="1" t="b">
        <v>0</v>
      </c>
      <c r="M208" s="1" t="b">
        <v>0</v>
      </c>
      <c r="N208" s="1" t="b">
        <v>0</v>
      </c>
      <c r="O208" s="1" t="b">
        <v>1</v>
      </c>
      <c r="P208" s="1" t="b">
        <v>1</v>
      </c>
      <c r="Q208" s="1" t="b">
        <v>0</v>
      </c>
      <c r="R208" s="1" t="b">
        <v>0</v>
      </c>
      <c r="S208" s="1" t="s">
        <v>51</v>
      </c>
      <c r="T208" s="1" t="s">
        <v>759</v>
      </c>
      <c r="U208" s="1" t="s">
        <v>53</v>
      </c>
      <c r="V208" s="1">
        <v>5.0</v>
      </c>
      <c r="W208" s="1">
        <v>5.0</v>
      </c>
      <c r="X208" s="1">
        <v>2.0</v>
      </c>
      <c r="Y208" s="1">
        <v>1.0</v>
      </c>
      <c r="Z208" s="1" t="s">
        <v>54</v>
      </c>
      <c r="AA208" s="1" t="b">
        <v>0</v>
      </c>
      <c r="AB208" s="1">
        <v>0.0</v>
      </c>
      <c r="AC208" s="1" t="b">
        <v>0</v>
      </c>
      <c r="AD208" s="1">
        <v>27.0</v>
      </c>
      <c r="AE208" s="1">
        <v>8.0</v>
      </c>
      <c r="AF208" s="3">
        <v>46158.0</v>
      </c>
      <c r="AG208" s="1" t="s">
        <v>55</v>
      </c>
      <c r="AH208" s="1" t="s">
        <v>72</v>
      </c>
      <c r="AI208" s="1" t="s">
        <v>72</v>
      </c>
      <c r="AJ208" s="1" t="s">
        <v>58</v>
      </c>
      <c r="AK208" s="1">
        <v>81621.0</v>
      </c>
      <c r="AL208" s="1" t="s">
        <v>59</v>
      </c>
      <c r="AM208" s="1" t="s">
        <v>60</v>
      </c>
      <c r="AN208" s="4" t="s">
        <v>832</v>
      </c>
      <c r="AO208" s="4" t="s">
        <v>833</v>
      </c>
      <c r="AP208" s="1" t="s">
        <v>834</v>
      </c>
      <c r="AR208" s="1">
        <v>39.3835178071</v>
      </c>
      <c r="AS208" s="1">
        <v>-106.9495353019</v>
      </c>
      <c r="AT208" s="5">
        <f t="shared" si="1"/>
        <v>41.81394958</v>
      </c>
      <c r="AU208" s="5">
        <f t="shared" si="2"/>
        <v>44185.20588</v>
      </c>
      <c r="AV208" s="5">
        <f t="shared" si="3"/>
        <v>0.2904281873</v>
      </c>
      <c r="AW208" s="5">
        <f t="shared" si="4"/>
        <v>0.8494971367</v>
      </c>
      <c r="AX208" s="5">
        <f t="shared" si="5"/>
        <v>37535.20588</v>
      </c>
    </row>
    <row r="209">
      <c r="A209" s="1" t="s">
        <v>835</v>
      </c>
      <c r="B209" s="1">
        <v>1.65857885E8</v>
      </c>
      <c r="D209" s="1">
        <v>6486.0</v>
      </c>
      <c r="E209" s="1">
        <v>6704.0</v>
      </c>
      <c r="F209" s="1">
        <v>270.25</v>
      </c>
      <c r="G209" s="1">
        <v>17.39</v>
      </c>
      <c r="H209" s="1">
        <v>362.0</v>
      </c>
      <c r="I209" s="1">
        <v>1.0</v>
      </c>
      <c r="J209" s="1">
        <v>1.0</v>
      </c>
      <c r="K209" s="1">
        <v>2.0</v>
      </c>
      <c r="L209" s="1" t="b">
        <v>0</v>
      </c>
      <c r="M209" s="1" t="b">
        <v>0</v>
      </c>
      <c r="N209" s="1" t="b">
        <v>0</v>
      </c>
      <c r="O209" s="1" t="b">
        <v>0</v>
      </c>
      <c r="P209" s="1" t="b">
        <v>0</v>
      </c>
      <c r="Q209" s="1" t="b">
        <v>0</v>
      </c>
      <c r="R209" s="1" t="b">
        <v>0</v>
      </c>
      <c r="S209" s="1" t="s">
        <v>51</v>
      </c>
      <c r="T209" s="1" t="s">
        <v>65</v>
      </c>
      <c r="U209" s="1" t="s">
        <v>53</v>
      </c>
      <c r="V209" s="1">
        <v>3.5</v>
      </c>
      <c r="W209" s="1">
        <v>2.0</v>
      </c>
      <c r="X209" s="1">
        <v>2.0</v>
      </c>
      <c r="Y209" s="2">
        <v>46058.0</v>
      </c>
      <c r="Z209" s="1" t="s">
        <v>54</v>
      </c>
      <c r="AA209" s="1" t="b">
        <v>0</v>
      </c>
      <c r="AB209" s="1">
        <v>99.0</v>
      </c>
      <c r="AC209" s="1" t="b">
        <v>0</v>
      </c>
      <c r="AD209" s="1">
        <v>24.0</v>
      </c>
      <c r="AE209" s="1">
        <v>6.0</v>
      </c>
      <c r="AF209" s="3">
        <v>46156.0</v>
      </c>
      <c r="AG209" s="1" t="s">
        <v>55</v>
      </c>
      <c r="AH209" s="1" t="s">
        <v>72</v>
      </c>
      <c r="AI209" s="1" t="s">
        <v>56</v>
      </c>
      <c r="AJ209" s="1" t="s">
        <v>58</v>
      </c>
      <c r="AK209" s="1">
        <v>81623.0</v>
      </c>
      <c r="AL209" s="1" t="s">
        <v>59</v>
      </c>
      <c r="AM209" s="1" t="s">
        <v>60</v>
      </c>
      <c r="AN209" s="4" t="s">
        <v>836</v>
      </c>
      <c r="AO209" s="4" t="s">
        <v>837</v>
      </c>
      <c r="AP209" s="1" t="s">
        <v>838</v>
      </c>
      <c r="AR209" s="1">
        <v>39.40096</v>
      </c>
      <c r="AS209" s="1">
        <v>-107.11307</v>
      </c>
      <c r="AT209" s="5">
        <f t="shared" si="1"/>
        <v>41.81394958</v>
      </c>
      <c r="AU209" s="5">
        <f t="shared" si="2"/>
        <v>44185.20588</v>
      </c>
      <c r="AV209" s="5">
        <f t="shared" si="3"/>
        <v>0.5841100835</v>
      </c>
      <c r="AW209" s="5">
        <f t="shared" si="4"/>
        <v>0.8532087863</v>
      </c>
      <c r="AX209" s="5">
        <f t="shared" si="5"/>
        <v>37699.20588</v>
      </c>
    </row>
    <row r="210">
      <c r="A210" s="1" t="s">
        <v>839</v>
      </c>
      <c r="D210" s="1">
        <v>6377.0</v>
      </c>
      <c r="E210" s="1">
        <v>21387.0</v>
      </c>
      <c r="F210" s="1">
        <v>911.0</v>
      </c>
      <c r="G210" s="1">
        <v>20.59</v>
      </c>
      <c r="H210" s="1">
        <v>178.0</v>
      </c>
      <c r="I210" s="1">
        <v>4.0</v>
      </c>
      <c r="J210" s="1">
        <v>2.0</v>
      </c>
      <c r="K210" s="1">
        <v>8.0</v>
      </c>
      <c r="L210" s="1" t="b">
        <v>0</v>
      </c>
      <c r="M210" s="1" t="b">
        <v>0</v>
      </c>
      <c r="N210" s="1" t="b">
        <v>1</v>
      </c>
      <c r="O210" s="1" t="b">
        <v>1</v>
      </c>
      <c r="P210" s="1" t="b">
        <v>1</v>
      </c>
      <c r="Q210" s="1" t="b">
        <v>0</v>
      </c>
      <c r="R210" s="1" t="b">
        <v>0</v>
      </c>
      <c r="S210" s="1" t="s">
        <v>51</v>
      </c>
      <c r="T210" s="1" t="s">
        <v>65</v>
      </c>
      <c r="U210" s="1" t="s">
        <v>53</v>
      </c>
      <c r="V210" s="1">
        <v>5.0</v>
      </c>
      <c r="W210" s="1">
        <v>34.0</v>
      </c>
      <c r="X210" s="1">
        <v>3.0</v>
      </c>
      <c r="Y210" s="1">
        <v>1.0</v>
      </c>
      <c r="Z210" s="1" t="s">
        <v>54</v>
      </c>
      <c r="AA210" s="1" t="b">
        <v>0</v>
      </c>
      <c r="AB210" s="1">
        <v>249.0</v>
      </c>
      <c r="AC210" s="1" t="b">
        <v>0</v>
      </c>
      <c r="AD210" s="1">
        <v>7.0</v>
      </c>
      <c r="AE210" s="1">
        <v>1.0</v>
      </c>
      <c r="AF210" s="3">
        <v>46157.0</v>
      </c>
      <c r="AG210" s="1" t="s">
        <v>55</v>
      </c>
      <c r="AH210" s="1" t="s">
        <v>72</v>
      </c>
      <c r="AI210" s="1" t="s">
        <v>56</v>
      </c>
      <c r="AJ210" s="1" t="s">
        <v>58</v>
      </c>
      <c r="AK210" s="1">
        <v>81623.0</v>
      </c>
      <c r="AL210" s="1" t="s">
        <v>59</v>
      </c>
      <c r="AM210" s="1" t="s">
        <v>60</v>
      </c>
      <c r="AN210" s="4" t="s">
        <v>840</v>
      </c>
      <c r="AO210" s="4" t="s">
        <v>841</v>
      </c>
      <c r="AQ210" s="1" t="s">
        <v>842</v>
      </c>
      <c r="AR210" s="1">
        <v>39.397487</v>
      </c>
      <c r="AS210" s="1">
        <v>-107.108235</v>
      </c>
      <c r="AT210" s="5">
        <f t="shared" si="1"/>
        <v>41.81394958</v>
      </c>
      <c r="AU210" s="5">
        <f t="shared" si="2"/>
        <v>44185.20588</v>
      </c>
      <c r="AV210" s="5">
        <f t="shared" si="3"/>
        <v>0.5075805991</v>
      </c>
      <c r="AW210" s="5">
        <f t="shared" si="4"/>
        <v>0.8556756753</v>
      </c>
      <c r="AX210" s="5">
        <f t="shared" si="5"/>
        <v>37808.20588</v>
      </c>
    </row>
    <row r="211">
      <c r="A211" s="1" t="s">
        <v>843</v>
      </c>
      <c r="B211" s="1">
        <v>9.9742836E7</v>
      </c>
      <c r="D211" s="1">
        <v>5250.0</v>
      </c>
      <c r="E211" s="1">
        <v>16455.0</v>
      </c>
      <c r="F211" s="1">
        <v>175.0</v>
      </c>
      <c r="G211" s="1">
        <v>100.0</v>
      </c>
      <c r="H211" s="1">
        <v>120.0</v>
      </c>
      <c r="I211" s="1">
        <v>1.0</v>
      </c>
      <c r="J211" s="1">
        <v>1.0</v>
      </c>
      <c r="K211" s="1">
        <v>4.0</v>
      </c>
      <c r="L211" s="1" t="b">
        <v>1</v>
      </c>
      <c r="M211" s="1" t="b">
        <v>0</v>
      </c>
      <c r="N211" s="1" t="b">
        <v>0</v>
      </c>
      <c r="O211" s="1" t="b">
        <v>1</v>
      </c>
      <c r="P211" s="1" t="b">
        <v>1</v>
      </c>
      <c r="Q211" s="1" t="b">
        <v>1</v>
      </c>
      <c r="R211" s="1" t="b">
        <v>0</v>
      </c>
      <c r="S211" s="1" t="s">
        <v>51</v>
      </c>
      <c r="T211" s="1" t="s">
        <v>209</v>
      </c>
      <c r="U211" s="1" t="s">
        <v>164</v>
      </c>
      <c r="V211" s="1">
        <v>4.9</v>
      </c>
      <c r="W211" s="1">
        <v>38.0</v>
      </c>
      <c r="X211" s="1">
        <v>15.0</v>
      </c>
      <c r="Y211" s="1">
        <v>1.0</v>
      </c>
      <c r="Z211" s="1" t="s">
        <v>54</v>
      </c>
      <c r="AA211" s="1" t="b">
        <v>0</v>
      </c>
      <c r="AB211" s="1">
        <v>175.0</v>
      </c>
      <c r="AC211" s="1" t="b">
        <v>0</v>
      </c>
      <c r="AD211" s="1">
        <v>30.0</v>
      </c>
      <c r="AE211" s="1">
        <v>1.0</v>
      </c>
      <c r="AF211" s="3">
        <v>46155.0</v>
      </c>
      <c r="AG211" s="1" t="s">
        <v>55</v>
      </c>
      <c r="AH211" s="1" t="s">
        <v>72</v>
      </c>
      <c r="AI211" s="1" t="s">
        <v>72</v>
      </c>
      <c r="AJ211" s="1" t="s">
        <v>58</v>
      </c>
      <c r="AK211" s="1">
        <v>81621.0</v>
      </c>
      <c r="AL211" s="1" t="s">
        <v>59</v>
      </c>
      <c r="AM211" s="1" t="s">
        <v>60</v>
      </c>
      <c r="AN211" s="4" t="s">
        <v>844</v>
      </c>
      <c r="AO211" s="4" t="s">
        <v>845</v>
      </c>
      <c r="AP211" s="1">
        <v>1.6160536E7</v>
      </c>
      <c r="AQ211" s="1">
        <v>1513089.0</v>
      </c>
      <c r="AR211" s="1">
        <v>39.3843</v>
      </c>
      <c r="AS211" s="1">
        <v>-107.08542</v>
      </c>
      <c r="AT211" s="5">
        <f t="shared" si="1"/>
        <v>41.81394958</v>
      </c>
      <c r="AU211" s="5">
        <f t="shared" si="2"/>
        <v>44185.20588</v>
      </c>
      <c r="AV211" s="5">
        <f t="shared" si="3"/>
        <v>-1.391546386</v>
      </c>
      <c r="AW211" s="5">
        <f t="shared" si="4"/>
        <v>0.88118195</v>
      </c>
      <c r="AX211" s="5">
        <f t="shared" si="5"/>
        <v>38935.20588</v>
      </c>
    </row>
    <row r="212">
      <c r="A212" s="1" t="s">
        <v>846</v>
      </c>
      <c r="B212" s="1" t="s">
        <v>128</v>
      </c>
      <c r="D212" s="1">
        <v>5182.0</v>
      </c>
      <c r="E212" s="1">
        <v>22118.0</v>
      </c>
      <c r="F212" s="1">
        <v>575.78</v>
      </c>
      <c r="G212" s="1">
        <v>56.25</v>
      </c>
      <c r="H212" s="1">
        <v>32.0</v>
      </c>
      <c r="I212" s="1">
        <v>3.0</v>
      </c>
      <c r="J212" s="1">
        <v>3.0</v>
      </c>
      <c r="K212" s="1">
        <v>7.0</v>
      </c>
      <c r="L212" s="1" t="b">
        <v>1</v>
      </c>
      <c r="M212" s="1" t="b">
        <v>0</v>
      </c>
      <c r="N212" s="1" t="b">
        <v>0</v>
      </c>
      <c r="O212" s="1" t="b">
        <v>1</v>
      </c>
      <c r="P212" s="1" t="b">
        <v>1</v>
      </c>
      <c r="Q212" s="1" t="b">
        <v>1</v>
      </c>
      <c r="R212" s="1" t="b">
        <v>0</v>
      </c>
      <c r="S212" s="1" t="s">
        <v>51</v>
      </c>
      <c r="T212" s="1" t="s">
        <v>137</v>
      </c>
      <c r="U212" s="1" t="s">
        <v>53</v>
      </c>
      <c r="V212" s="1">
        <v>0.0</v>
      </c>
      <c r="W212" s="1">
        <v>0.0</v>
      </c>
      <c r="X212" s="1">
        <v>2.0</v>
      </c>
      <c r="Y212" s="1" t="s">
        <v>71</v>
      </c>
      <c r="Z212" s="1" t="s">
        <v>54</v>
      </c>
      <c r="AA212" s="1" t="b">
        <v>1</v>
      </c>
      <c r="AB212" s="1">
        <v>309.0</v>
      </c>
      <c r="AC212" s="1" t="b">
        <v>1</v>
      </c>
      <c r="AD212" s="1">
        <v>9.0</v>
      </c>
      <c r="AE212" s="1">
        <v>3.0</v>
      </c>
      <c r="AF212" s="3">
        <v>45803.0</v>
      </c>
      <c r="AG212" s="1" t="s">
        <v>55</v>
      </c>
      <c r="AH212" s="1" t="s">
        <v>55</v>
      </c>
      <c r="AI212" s="1" t="s">
        <v>551</v>
      </c>
      <c r="AJ212" s="1" t="s">
        <v>58</v>
      </c>
      <c r="AK212" s="1">
        <v>81637.0</v>
      </c>
      <c r="AL212" s="1" t="s">
        <v>59</v>
      </c>
      <c r="AM212" s="1" t="s">
        <v>60</v>
      </c>
      <c r="AN212" s="4" t="s">
        <v>847</v>
      </c>
      <c r="AO212" s="4" t="s">
        <v>848</v>
      </c>
      <c r="AP212" s="1" t="s">
        <v>849</v>
      </c>
      <c r="AQ212" s="1" t="s">
        <v>850</v>
      </c>
      <c r="AR212" s="1">
        <v>39.7741092</v>
      </c>
      <c r="AS212" s="1">
        <v>-107.1658579</v>
      </c>
      <c r="AT212" s="5">
        <f t="shared" si="1"/>
        <v>41.81394958</v>
      </c>
      <c r="AU212" s="5">
        <f t="shared" si="2"/>
        <v>44185.20588</v>
      </c>
      <c r="AV212" s="5">
        <f t="shared" si="3"/>
        <v>-0.3452448421</v>
      </c>
      <c r="AW212" s="5">
        <f t="shared" si="4"/>
        <v>0.8827209267</v>
      </c>
      <c r="AX212" s="5">
        <f t="shared" si="5"/>
        <v>39003.20588</v>
      </c>
    </row>
    <row r="213">
      <c r="A213" s="1" t="s">
        <v>851</v>
      </c>
      <c r="B213" s="1">
        <v>3.90091277E8</v>
      </c>
      <c r="D213" s="1">
        <v>4898.0</v>
      </c>
      <c r="E213" s="1">
        <v>49260.0</v>
      </c>
      <c r="F213" s="1">
        <v>1224.5</v>
      </c>
      <c r="G213" s="1">
        <v>57.14</v>
      </c>
      <c r="H213" s="1">
        <v>27.0</v>
      </c>
      <c r="I213" s="1">
        <v>6.0</v>
      </c>
      <c r="J213" s="1">
        <v>5.0</v>
      </c>
      <c r="K213" s="1">
        <v>16.0</v>
      </c>
      <c r="L213" s="1" t="b">
        <v>0</v>
      </c>
      <c r="M213" s="1" t="b">
        <v>0</v>
      </c>
      <c r="N213" s="1" t="b">
        <v>1</v>
      </c>
      <c r="O213" s="1" t="b">
        <v>1</v>
      </c>
      <c r="P213" s="1" t="b">
        <v>1</v>
      </c>
      <c r="Q213" s="1" t="b">
        <v>1</v>
      </c>
      <c r="R213" s="1" t="b">
        <v>1</v>
      </c>
      <c r="S213" s="1" t="s">
        <v>51</v>
      </c>
      <c r="T213" s="1" t="s">
        <v>65</v>
      </c>
      <c r="U213" s="1" t="s">
        <v>53</v>
      </c>
      <c r="V213" s="1">
        <v>4.95</v>
      </c>
      <c r="W213" s="1">
        <v>41.0</v>
      </c>
      <c r="X213" s="1">
        <v>4.0</v>
      </c>
      <c r="Y213" s="2">
        <v>46058.0</v>
      </c>
      <c r="Z213" s="1" t="s">
        <v>54</v>
      </c>
      <c r="AA213" s="1" t="b">
        <v>0</v>
      </c>
      <c r="AB213" s="1">
        <v>550.0</v>
      </c>
      <c r="AC213" s="1" t="b">
        <v>0</v>
      </c>
      <c r="AD213" s="1">
        <v>4.0</v>
      </c>
      <c r="AE213" s="1">
        <v>1.0</v>
      </c>
      <c r="AF213" s="3">
        <v>45841.0</v>
      </c>
      <c r="AG213" s="1" t="s">
        <v>55</v>
      </c>
      <c r="AH213" s="1" t="s">
        <v>55</v>
      </c>
      <c r="AI213" s="1" t="s">
        <v>55</v>
      </c>
      <c r="AJ213" s="1" t="s">
        <v>58</v>
      </c>
      <c r="AK213" s="1">
        <v>81601.0</v>
      </c>
      <c r="AL213" s="1" t="s">
        <v>59</v>
      </c>
      <c r="AM213" s="1" t="s">
        <v>60</v>
      </c>
      <c r="AN213" s="4" t="s">
        <v>852</v>
      </c>
      <c r="AO213" s="4" t="s">
        <v>853</v>
      </c>
      <c r="AP213" s="1" t="s">
        <v>854</v>
      </c>
      <c r="AR213" s="1">
        <v>39.56337</v>
      </c>
      <c r="AS213" s="1">
        <v>-107.29244</v>
      </c>
      <c r="AT213" s="5">
        <f t="shared" si="1"/>
        <v>41.81394958</v>
      </c>
      <c r="AU213" s="5">
        <f t="shared" si="2"/>
        <v>44185.20588</v>
      </c>
      <c r="AV213" s="5">
        <f t="shared" si="3"/>
        <v>-0.3665296049</v>
      </c>
      <c r="AW213" s="5">
        <f t="shared" si="4"/>
        <v>0.8891484174</v>
      </c>
      <c r="AX213" s="5">
        <f t="shared" si="5"/>
        <v>39287.20588</v>
      </c>
    </row>
    <row r="214">
      <c r="A214" s="1" t="s">
        <v>855</v>
      </c>
      <c r="B214" s="1">
        <v>9451868.0</v>
      </c>
      <c r="D214" s="1">
        <v>4873.0</v>
      </c>
      <c r="E214" s="1">
        <v>15800.0</v>
      </c>
      <c r="F214" s="1">
        <v>541.44</v>
      </c>
      <c r="G214" s="1">
        <v>25.0</v>
      </c>
      <c r="H214" s="1">
        <v>162.0</v>
      </c>
      <c r="I214" s="1">
        <v>2.0</v>
      </c>
      <c r="J214" s="1">
        <v>2.0</v>
      </c>
      <c r="K214" s="1">
        <v>4.0</v>
      </c>
      <c r="L214" s="1" t="b">
        <v>1</v>
      </c>
      <c r="M214" s="1" t="b">
        <v>1</v>
      </c>
      <c r="N214" s="1" t="b">
        <v>1</v>
      </c>
      <c r="O214" s="1" t="b">
        <v>1</v>
      </c>
      <c r="P214" s="1" t="b">
        <v>1</v>
      </c>
      <c r="Q214" s="1" t="b">
        <v>1</v>
      </c>
      <c r="R214" s="1" t="b">
        <v>0</v>
      </c>
      <c r="S214" s="1" t="s">
        <v>51</v>
      </c>
      <c r="T214" s="1" t="s">
        <v>65</v>
      </c>
      <c r="U214" s="1" t="s">
        <v>53</v>
      </c>
      <c r="V214" s="1">
        <v>5.0</v>
      </c>
      <c r="W214" s="1">
        <v>2.0</v>
      </c>
      <c r="X214" s="1">
        <v>7.0</v>
      </c>
      <c r="Y214" s="2">
        <v>46058.0</v>
      </c>
      <c r="Z214" s="1" t="s">
        <v>54</v>
      </c>
      <c r="AA214" s="1" t="b">
        <v>0</v>
      </c>
      <c r="AB214" s="1">
        <v>680.0</v>
      </c>
      <c r="AC214" s="1" t="b">
        <v>0</v>
      </c>
      <c r="AD214" s="1">
        <v>9.0</v>
      </c>
      <c r="AE214" s="1">
        <v>3.0</v>
      </c>
      <c r="AF214" s="3">
        <v>46155.0</v>
      </c>
      <c r="AG214" s="1" t="s">
        <v>55</v>
      </c>
      <c r="AH214" s="1" t="s">
        <v>72</v>
      </c>
      <c r="AI214" s="1" t="s">
        <v>56</v>
      </c>
      <c r="AJ214" s="1" t="s">
        <v>58</v>
      </c>
      <c r="AK214" s="1">
        <v>81623.0</v>
      </c>
      <c r="AL214" s="1" t="s">
        <v>59</v>
      </c>
      <c r="AM214" s="1" t="s">
        <v>60</v>
      </c>
      <c r="AN214" s="4" t="s">
        <v>856</v>
      </c>
      <c r="AO214" s="4" t="s">
        <v>857</v>
      </c>
      <c r="AP214" s="1">
        <v>1.6504959E7</v>
      </c>
      <c r="AQ214" s="1">
        <v>4227501.0</v>
      </c>
      <c r="AR214" s="1">
        <v>39.40366</v>
      </c>
      <c r="AS214" s="1">
        <v>-107.10944</v>
      </c>
      <c r="AT214" s="5">
        <f t="shared" si="1"/>
        <v>41.81394958</v>
      </c>
      <c r="AU214" s="5">
        <f t="shared" si="2"/>
        <v>44185.20588</v>
      </c>
      <c r="AV214" s="5">
        <f t="shared" si="3"/>
        <v>0.4021134035</v>
      </c>
      <c r="AW214" s="5">
        <f t="shared" si="4"/>
        <v>0.8897142176</v>
      </c>
      <c r="AX214" s="5">
        <f t="shared" si="5"/>
        <v>39312.20588</v>
      </c>
    </row>
    <row r="215">
      <c r="A215" s="1" t="s">
        <v>858</v>
      </c>
      <c r="B215" s="1">
        <v>2.50932979E8</v>
      </c>
      <c r="D215" s="1">
        <v>3528.0</v>
      </c>
      <c r="E215" s="1">
        <v>3528.0</v>
      </c>
      <c r="F215" s="1">
        <v>882.0</v>
      </c>
      <c r="G215" s="1">
        <v>12.9</v>
      </c>
      <c r="H215" s="1">
        <v>89.0</v>
      </c>
      <c r="I215" s="1">
        <v>3.0</v>
      </c>
      <c r="J215" s="1">
        <v>3.0</v>
      </c>
      <c r="K215" s="1">
        <v>6.0</v>
      </c>
      <c r="L215" s="1" t="b">
        <v>1</v>
      </c>
      <c r="M215" s="1" t="b">
        <v>0</v>
      </c>
      <c r="N215" s="1" t="b">
        <v>0</v>
      </c>
      <c r="O215" s="1" t="b">
        <v>1</v>
      </c>
      <c r="P215" s="1" t="b">
        <v>1</v>
      </c>
      <c r="Q215" s="1" t="b">
        <v>0</v>
      </c>
      <c r="R215" s="1" t="b">
        <v>0</v>
      </c>
      <c r="S215" s="1" t="s">
        <v>51</v>
      </c>
      <c r="T215" s="1" t="s">
        <v>65</v>
      </c>
      <c r="U215" s="1" t="s">
        <v>53</v>
      </c>
      <c r="V215" s="1">
        <v>0.0</v>
      </c>
      <c r="W215" s="1">
        <v>0.0</v>
      </c>
      <c r="X215" s="1">
        <v>7.0</v>
      </c>
      <c r="Y215" s="2">
        <v>46058.0</v>
      </c>
      <c r="Z215" s="1" t="s">
        <v>54</v>
      </c>
      <c r="AA215" s="1" t="b">
        <v>0</v>
      </c>
      <c r="AB215" s="1">
        <v>0.0</v>
      </c>
      <c r="AC215" s="1" t="b">
        <v>0</v>
      </c>
      <c r="AD215" s="1">
        <v>4.0</v>
      </c>
      <c r="AE215" s="1">
        <v>1.0</v>
      </c>
      <c r="AF215" s="3">
        <v>46157.0</v>
      </c>
      <c r="AG215" s="1" t="s">
        <v>55</v>
      </c>
      <c r="AH215" s="1" t="s">
        <v>72</v>
      </c>
      <c r="AI215" s="1" t="s">
        <v>56</v>
      </c>
      <c r="AJ215" s="1" t="s">
        <v>58</v>
      </c>
      <c r="AK215" s="1">
        <v>81623.0</v>
      </c>
      <c r="AL215" s="1" t="s">
        <v>59</v>
      </c>
      <c r="AM215" s="1" t="s">
        <v>60</v>
      </c>
      <c r="AN215" s="4" t="s">
        <v>859</v>
      </c>
      <c r="AO215" s="4" t="s">
        <v>860</v>
      </c>
      <c r="AP215" s="1" t="s">
        <v>861</v>
      </c>
      <c r="AR215" s="1">
        <v>39.41326</v>
      </c>
      <c r="AS215" s="1">
        <v>-107.0859</v>
      </c>
      <c r="AT215" s="5">
        <f t="shared" si="1"/>
        <v>41.81394958</v>
      </c>
      <c r="AU215" s="5">
        <f t="shared" si="2"/>
        <v>44185.20588</v>
      </c>
      <c r="AV215" s="5">
        <f t="shared" si="3"/>
        <v>0.6914905162</v>
      </c>
      <c r="AW215" s="5">
        <f t="shared" si="4"/>
        <v>0.9201542704</v>
      </c>
      <c r="AX215" s="5">
        <f t="shared" si="5"/>
        <v>40657.20588</v>
      </c>
    </row>
    <row r="216">
      <c r="A216" s="1" t="s">
        <v>862</v>
      </c>
      <c r="D216" s="1">
        <v>3399.0</v>
      </c>
      <c r="E216" s="1">
        <v>19670.0</v>
      </c>
      <c r="F216" s="1">
        <v>1133.0</v>
      </c>
      <c r="G216" s="1">
        <v>75.0</v>
      </c>
      <c r="H216" s="1">
        <v>77.0</v>
      </c>
      <c r="I216" s="1">
        <v>4.0</v>
      </c>
      <c r="J216" s="1">
        <v>5.0</v>
      </c>
      <c r="K216" s="1">
        <v>8.0</v>
      </c>
      <c r="L216" s="1" t="b">
        <v>1</v>
      </c>
      <c r="M216" s="1" t="b">
        <v>0</v>
      </c>
      <c r="N216" s="1" t="b">
        <v>1</v>
      </c>
      <c r="O216" s="1" t="b">
        <v>1</v>
      </c>
      <c r="P216" s="1" t="b">
        <v>1</v>
      </c>
      <c r="Q216" s="1" t="b">
        <v>1</v>
      </c>
      <c r="R216" s="1" t="b">
        <v>0</v>
      </c>
      <c r="S216" s="1" t="s">
        <v>51</v>
      </c>
      <c r="T216" s="1" t="s">
        <v>65</v>
      </c>
      <c r="U216" s="1" t="s">
        <v>53</v>
      </c>
      <c r="V216" s="1">
        <v>5.0</v>
      </c>
      <c r="W216" s="1">
        <v>1.0</v>
      </c>
      <c r="X216" s="1">
        <v>30.0</v>
      </c>
      <c r="Y216" s="1">
        <v>1.0</v>
      </c>
      <c r="Z216" s="1" t="s">
        <v>54</v>
      </c>
      <c r="AA216" s="1" t="b">
        <v>0</v>
      </c>
      <c r="AB216" s="1">
        <v>550.0</v>
      </c>
      <c r="AC216" s="1" t="b">
        <v>0</v>
      </c>
      <c r="AD216" s="1">
        <v>3.0</v>
      </c>
      <c r="AE216" s="1">
        <v>1.0</v>
      </c>
      <c r="AF216" s="3">
        <v>45905.0</v>
      </c>
      <c r="AG216" s="1" t="s">
        <v>55</v>
      </c>
      <c r="AH216" s="1" t="s">
        <v>72</v>
      </c>
      <c r="AI216" s="1" t="s">
        <v>72</v>
      </c>
      <c r="AJ216" s="1" t="s">
        <v>58</v>
      </c>
      <c r="AK216" s="1">
        <v>81621.0</v>
      </c>
      <c r="AL216" s="1" t="s">
        <v>59</v>
      </c>
      <c r="AM216" s="1" t="s">
        <v>60</v>
      </c>
      <c r="AN216" s="4" t="s">
        <v>863</v>
      </c>
      <c r="AO216" s="4" t="s">
        <v>864</v>
      </c>
      <c r="AQ216" s="1">
        <v>4525678.0</v>
      </c>
      <c r="AR216" s="1">
        <v>39.37468</v>
      </c>
      <c r="AS216" s="1">
        <v>-107.03442</v>
      </c>
      <c r="AT216" s="5">
        <f t="shared" si="1"/>
        <v>41.81394958</v>
      </c>
      <c r="AU216" s="5">
        <f t="shared" si="2"/>
        <v>44185.20588</v>
      </c>
      <c r="AV216" s="5">
        <f t="shared" si="3"/>
        <v>-0.7936597895</v>
      </c>
      <c r="AW216" s="5">
        <f t="shared" si="4"/>
        <v>0.9230737997</v>
      </c>
      <c r="AX216" s="5">
        <f t="shared" si="5"/>
        <v>40786.20588</v>
      </c>
    </row>
    <row r="217">
      <c r="A217" s="1" t="s">
        <v>865</v>
      </c>
      <c r="B217" s="1">
        <v>1.5530945E7</v>
      </c>
      <c r="D217" s="1">
        <v>3101.0</v>
      </c>
      <c r="E217" s="1">
        <v>4566.0</v>
      </c>
      <c r="F217" s="1">
        <v>620.2</v>
      </c>
      <c r="G217" s="1">
        <v>15.62</v>
      </c>
      <c r="H217" s="1">
        <v>359.0</v>
      </c>
      <c r="I217" s="1">
        <v>2.0</v>
      </c>
      <c r="J217" s="1">
        <v>1.0</v>
      </c>
      <c r="K217" s="1">
        <v>4.0</v>
      </c>
      <c r="L217" s="1" t="b">
        <v>1</v>
      </c>
      <c r="M217" s="1" t="b">
        <v>0</v>
      </c>
      <c r="N217" s="1" t="b">
        <v>0</v>
      </c>
      <c r="O217" s="1" t="b">
        <v>0</v>
      </c>
      <c r="P217" s="1" t="b">
        <v>1</v>
      </c>
      <c r="Q217" s="1" t="b">
        <v>0</v>
      </c>
      <c r="R217" s="1" t="b">
        <v>0</v>
      </c>
      <c r="S217" s="1" t="s">
        <v>51</v>
      </c>
      <c r="T217" s="1" t="s">
        <v>163</v>
      </c>
      <c r="U217" s="1" t="s">
        <v>164</v>
      </c>
      <c r="V217" s="1">
        <v>0.0</v>
      </c>
      <c r="W217" s="1">
        <v>0.0</v>
      </c>
      <c r="X217" s="1">
        <v>14.0</v>
      </c>
      <c r="Y217" s="2">
        <v>46058.0</v>
      </c>
      <c r="Z217" s="1" t="s">
        <v>54</v>
      </c>
      <c r="AA217" s="1" t="b">
        <v>0</v>
      </c>
      <c r="AB217" s="1">
        <v>302.0</v>
      </c>
      <c r="AC217" s="1" t="b">
        <v>0</v>
      </c>
      <c r="AD217" s="1">
        <v>5.0</v>
      </c>
      <c r="AE217" s="1">
        <v>1.0</v>
      </c>
      <c r="AF217" s="3">
        <v>46157.0</v>
      </c>
      <c r="AG217" s="1" t="s">
        <v>55</v>
      </c>
      <c r="AH217" s="1" t="s">
        <v>72</v>
      </c>
      <c r="AI217" s="1" t="s">
        <v>72</v>
      </c>
      <c r="AJ217" s="1" t="s">
        <v>58</v>
      </c>
      <c r="AK217" s="1">
        <v>81621.0</v>
      </c>
      <c r="AL217" s="1" t="s">
        <v>59</v>
      </c>
      <c r="AM217" s="1" t="s">
        <v>60</v>
      </c>
      <c r="AN217" s="4" t="s">
        <v>866</v>
      </c>
      <c r="AO217" s="4" t="s">
        <v>867</v>
      </c>
      <c r="AP217" s="1" t="s">
        <v>868</v>
      </c>
      <c r="AR217" s="1">
        <v>39.37125</v>
      </c>
      <c r="AS217" s="1">
        <v>-107.07597</v>
      </c>
      <c r="AT217" s="5">
        <f t="shared" si="1"/>
        <v>41.81394958</v>
      </c>
      <c r="AU217" s="5">
        <f t="shared" si="2"/>
        <v>44185.20588</v>
      </c>
      <c r="AV217" s="5">
        <f t="shared" si="3"/>
        <v>0.6264404545</v>
      </c>
      <c r="AW217" s="5">
        <f t="shared" si="4"/>
        <v>0.9298181385</v>
      </c>
      <c r="AX217" s="5">
        <f t="shared" si="5"/>
        <v>41084.20588</v>
      </c>
    </row>
    <row r="218">
      <c r="A218" s="1" t="s">
        <v>869</v>
      </c>
      <c r="B218" s="1" t="s">
        <v>98</v>
      </c>
      <c r="D218" s="1">
        <v>3032.0</v>
      </c>
      <c r="E218" s="1">
        <v>9804.0</v>
      </c>
      <c r="F218" s="1">
        <v>505.33</v>
      </c>
      <c r="G218" s="1">
        <v>28.57</v>
      </c>
      <c r="H218" s="1">
        <v>22.0</v>
      </c>
      <c r="I218" s="1">
        <v>3.0</v>
      </c>
      <c r="J218" s="1">
        <v>2.0</v>
      </c>
      <c r="K218" s="1">
        <v>6.0</v>
      </c>
      <c r="L218" s="1" t="b">
        <v>0</v>
      </c>
      <c r="M218" s="1" t="b">
        <v>0</v>
      </c>
      <c r="N218" s="1" t="b">
        <v>1</v>
      </c>
      <c r="O218" s="1" t="b">
        <v>1</v>
      </c>
      <c r="P218" s="1" t="b">
        <v>1</v>
      </c>
      <c r="Q218" s="1" t="b">
        <v>0</v>
      </c>
      <c r="R218" s="1" t="b">
        <v>0</v>
      </c>
      <c r="S218" s="1" t="s">
        <v>51</v>
      </c>
      <c r="T218" s="1" t="s">
        <v>65</v>
      </c>
      <c r="U218" s="1" t="s">
        <v>53</v>
      </c>
      <c r="V218" s="1">
        <v>4.8</v>
      </c>
      <c r="W218" s="1">
        <v>40.0</v>
      </c>
      <c r="X218" s="1">
        <v>4.0</v>
      </c>
      <c r="Y218" s="1" t="s">
        <v>71</v>
      </c>
      <c r="Z218" s="1" t="s">
        <v>54</v>
      </c>
      <c r="AA218" s="1" t="b">
        <v>1</v>
      </c>
      <c r="AB218" s="1">
        <v>275.0</v>
      </c>
      <c r="AC218" s="1" t="b">
        <v>0</v>
      </c>
      <c r="AD218" s="1">
        <v>6.0</v>
      </c>
      <c r="AE218" s="1">
        <v>2.0</v>
      </c>
      <c r="AF218" s="3">
        <v>45853.0</v>
      </c>
      <c r="AG218" s="1" t="s">
        <v>55</v>
      </c>
      <c r="AH218" s="1" t="s">
        <v>72</v>
      </c>
      <c r="AI218" s="1" t="s">
        <v>72</v>
      </c>
      <c r="AJ218" s="1" t="s">
        <v>58</v>
      </c>
      <c r="AK218" s="1">
        <v>81621.0</v>
      </c>
      <c r="AL218" s="1" t="s">
        <v>59</v>
      </c>
      <c r="AM218" s="1" t="s">
        <v>60</v>
      </c>
      <c r="AN218" s="4" t="s">
        <v>870</v>
      </c>
      <c r="AO218" s="4" t="s">
        <v>871</v>
      </c>
      <c r="AP218" s="1" t="s">
        <v>872</v>
      </c>
      <c r="AQ218" s="1">
        <v>3605307.0</v>
      </c>
      <c r="AR218" s="1">
        <v>39.36932</v>
      </c>
      <c r="AS218" s="1">
        <v>-107.0303</v>
      </c>
      <c r="AT218" s="5">
        <f t="shared" si="1"/>
        <v>41.81394958</v>
      </c>
      <c r="AU218" s="5">
        <f t="shared" si="2"/>
        <v>44185.20588</v>
      </c>
      <c r="AV218" s="5">
        <f t="shared" si="3"/>
        <v>0.3167351975</v>
      </c>
      <c r="AW218" s="5">
        <f t="shared" si="4"/>
        <v>0.9313797471</v>
      </c>
      <c r="AX218" s="5">
        <f t="shared" si="5"/>
        <v>41153.20588</v>
      </c>
    </row>
    <row r="219">
      <c r="A219" s="1" t="s">
        <v>873</v>
      </c>
      <c r="B219" s="1" t="s">
        <v>98</v>
      </c>
      <c r="D219" s="1">
        <v>2405.0</v>
      </c>
      <c r="E219" s="1">
        <v>6871.0</v>
      </c>
      <c r="F219" s="1">
        <v>481.0</v>
      </c>
      <c r="G219" s="1">
        <v>71.43</v>
      </c>
      <c r="H219" s="1">
        <v>48.0</v>
      </c>
      <c r="I219" s="1">
        <v>2.0</v>
      </c>
      <c r="J219" s="1">
        <v>2.0</v>
      </c>
      <c r="K219" s="1">
        <v>4.0</v>
      </c>
      <c r="L219" s="1" t="b">
        <v>1</v>
      </c>
      <c r="M219" s="1" t="b">
        <v>0</v>
      </c>
      <c r="N219" s="1" t="b">
        <v>0</v>
      </c>
      <c r="O219" s="1" t="b">
        <v>1</v>
      </c>
      <c r="P219" s="1" t="b">
        <v>1</v>
      </c>
      <c r="Q219" s="1" t="b">
        <v>0</v>
      </c>
      <c r="R219" s="1" t="b">
        <v>0</v>
      </c>
      <c r="S219" s="1" t="s">
        <v>51</v>
      </c>
      <c r="T219" s="1" t="s">
        <v>163</v>
      </c>
      <c r="U219" s="1" t="s">
        <v>164</v>
      </c>
      <c r="V219" s="1">
        <v>4.9</v>
      </c>
      <c r="W219" s="1">
        <v>10.0</v>
      </c>
      <c r="X219" s="1">
        <v>3.0</v>
      </c>
      <c r="Y219" s="1" t="s">
        <v>71</v>
      </c>
      <c r="Z219" s="1" t="s">
        <v>54</v>
      </c>
      <c r="AA219" s="1" t="b">
        <v>1</v>
      </c>
      <c r="AB219" s="1">
        <v>0.0</v>
      </c>
      <c r="AC219" s="1" t="b">
        <v>0</v>
      </c>
      <c r="AD219" s="1">
        <v>5.0</v>
      </c>
      <c r="AE219" s="1">
        <v>1.0</v>
      </c>
      <c r="AF219" s="3">
        <v>45838.0</v>
      </c>
      <c r="AG219" s="1" t="s">
        <v>55</v>
      </c>
      <c r="AH219" s="1" t="s">
        <v>72</v>
      </c>
      <c r="AI219" s="1" t="s">
        <v>72</v>
      </c>
      <c r="AJ219" s="1" t="s">
        <v>58</v>
      </c>
      <c r="AK219" s="1">
        <v>81621.0</v>
      </c>
      <c r="AL219" s="1" t="s">
        <v>59</v>
      </c>
      <c r="AM219" s="1" t="s">
        <v>60</v>
      </c>
      <c r="AN219" s="4" t="s">
        <v>874</v>
      </c>
      <c r="AO219" s="4" t="s">
        <v>875</v>
      </c>
      <c r="AP219" s="1" t="s">
        <v>876</v>
      </c>
      <c r="AQ219" s="1">
        <v>4291251.0</v>
      </c>
      <c r="AR219" s="1">
        <v>39.3828091803</v>
      </c>
      <c r="AS219" s="1">
        <v>-107.0823830837</v>
      </c>
      <c r="AT219" s="5">
        <f t="shared" si="1"/>
        <v>41.81394958</v>
      </c>
      <c r="AU219" s="5">
        <f t="shared" si="2"/>
        <v>44185.20588</v>
      </c>
      <c r="AV219" s="5">
        <f t="shared" si="3"/>
        <v>-0.7082815835</v>
      </c>
      <c r="AW219" s="5">
        <f t="shared" si="4"/>
        <v>0.9455700171</v>
      </c>
      <c r="AX219" s="5">
        <f t="shared" si="5"/>
        <v>41780.20588</v>
      </c>
    </row>
    <row r="220">
      <c r="A220" s="1" t="s">
        <v>877</v>
      </c>
      <c r="B220" s="1">
        <v>3.6061978E7</v>
      </c>
      <c r="D220" s="1">
        <v>2325.0</v>
      </c>
      <c r="E220" s="1">
        <v>31534.0</v>
      </c>
      <c r="F220" s="1">
        <v>775.0</v>
      </c>
      <c r="G220" s="1">
        <v>10.0</v>
      </c>
      <c r="H220" s="1">
        <v>238.0</v>
      </c>
      <c r="I220" s="1">
        <v>3.0</v>
      </c>
      <c r="J220" s="1">
        <v>3.0</v>
      </c>
      <c r="K220" s="1">
        <v>6.0</v>
      </c>
      <c r="L220" s="1" t="b">
        <v>0</v>
      </c>
      <c r="M220" s="1" t="b">
        <v>0</v>
      </c>
      <c r="N220" s="1" t="b">
        <v>1</v>
      </c>
      <c r="O220" s="1" t="b">
        <v>1</v>
      </c>
      <c r="P220" s="1" t="b">
        <v>1</v>
      </c>
      <c r="Q220" s="1" t="b">
        <v>1</v>
      </c>
      <c r="R220" s="1" t="b">
        <v>0</v>
      </c>
      <c r="S220" s="1" t="s">
        <v>51</v>
      </c>
      <c r="T220" s="1" t="s">
        <v>65</v>
      </c>
      <c r="U220" s="1" t="s">
        <v>53</v>
      </c>
      <c r="V220" s="1">
        <v>5.0</v>
      </c>
      <c r="W220" s="1">
        <v>10.0</v>
      </c>
      <c r="X220" s="1">
        <v>3.0</v>
      </c>
      <c r="Y220" s="2">
        <v>46058.0</v>
      </c>
      <c r="Z220" s="1" t="s">
        <v>54</v>
      </c>
      <c r="AA220" s="1" t="b">
        <v>0</v>
      </c>
      <c r="AB220" s="1">
        <v>378.0</v>
      </c>
      <c r="AC220" s="1" t="b">
        <v>0</v>
      </c>
      <c r="AD220" s="1">
        <v>3.0</v>
      </c>
      <c r="AE220" s="1">
        <v>1.0</v>
      </c>
      <c r="AF220" s="3">
        <v>46155.0</v>
      </c>
      <c r="AG220" s="1" t="s">
        <v>55</v>
      </c>
      <c r="AH220" s="1" t="s">
        <v>72</v>
      </c>
      <c r="AI220" s="1" t="s">
        <v>72</v>
      </c>
      <c r="AJ220" s="1" t="s">
        <v>58</v>
      </c>
      <c r="AK220" s="1">
        <v>81621.0</v>
      </c>
      <c r="AL220" s="1" t="s">
        <v>59</v>
      </c>
      <c r="AM220" s="1" t="s">
        <v>60</v>
      </c>
      <c r="AN220" s="4" t="s">
        <v>878</v>
      </c>
      <c r="AO220" s="4" t="s">
        <v>879</v>
      </c>
      <c r="AP220" s="1" t="s">
        <v>880</v>
      </c>
      <c r="AQ220" s="1">
        <v>3997827.0</v>
      </c>
      <c r="AR220" s="1">
        <v>39.38259</v>
      </c>
      <c r="AS220" s="1">
        <v>-106.81646</v>
      </c>
      <c r="AT220" s="5">
        <f t="shared" si="1"/>
        <v>41.81394958</v>
      </c>
      <c r="AU220" s="5">
        <f t="shared" si="2"/>
        <v>44185.20588</v>
      </c>
      <c r="AV220" s="5">
        <f t="shared" si="3"/>
        <v>0.7608453614</v>
      </c>
      <c r="AW220" s="5">
        <f t="shared" si="4"/>
        <v>0.9473805779</v>
      </c>
      <c r="AX220" s="5">
        <f t="shared" si="5"/>
        <v>41860.20588</v>
      </c>
    </row>
    <row r="221">
      <c r="A221" s="1" t="s">
        <v>881</v>
      </c>
      <c r="D221" s="1">
        <v>2229.0</v>
      </c>
      <c r="E221" s="1">
        <v>2229.0</v>
      </c>
      <c r="F221" s="1">
        <v>445.8</v>
      </c>
      <c r="G221" s="1">
        <v>8.77</v>
      </c>
      <c r="H221" s="1">
        <v>79.0</v>
      </c>
      <c r="I221" s="1">
        <v>2.0</v>
      </c>
      <c r="J221" s="1">
        <v>1.0</v>
      </c>
      <c r="K221" s="1">
        <v>8.0</v>
      </c>
      <c r="L221" s="1" t="b">
        <v>0</v>
      </c>
      <c r="M221" s="1" t="b">
        <v>0</v>
      </c>
      <c r="N221" s="1" t="b">
        <v>0</v>
      </c>
      <c r="O221" s="1" t="b">
        <v>0</v>
      </c>
      <c r="P221" s="1" t="b">
        <v>0</v>
      </c>
      <c r="Q221" s="1" t="b">
        <v>0</v>
      </c>
      <c r="R221" s="1" t="b">
        <v>0</v>
      </c>
      <c r="S221" s="1" t="s">
        <v>51</v>
      </c>
      <c r="T221" s="1" t="s">
        <v>209</v>
      </c>
      <c r="U221" s="1" t="s">
        <v>164</v>
      </c>
      <c r="V221" s="1">
        <v>0.0</v>
      </c>
      <c r="W221" s="1">
        <v>0.0</v>
      </c>
      <c r="X221" s="1">
        <v>2.0</v>
      </c>
      <c r="Y221" s="1">
        <v>1.0</v>
      </c>
      <c r="Z221" s="1" t="s">
        <v>54</v>
      </c>
      <c r="AA221" s="1" t="b">
        <v>0</v>
      </c>
      <c r="AB221" s="1">
        <v>0.0</v>
      </c>
      <c r="AC221" s="1" t="b">
        <v>0</v>
      </c>
      <c r="AD221" s="1">
        <v>5.0</v>
      </c>
      <c r="AE221" s="1">
        <v>2.0</v>
      </c>
      <c r="AF221" s="3">
        <v>46054.0</v>
      </c>
      <c r="AG221" s="1" t="s">
        <v>55</v>
      </c>
      <c r="AH221" s="1" t="s">
        <v>72</v>
      </c>
      <c r="AI221" s="1" t="s">
        <v>72</v>
      </c>
      <c r="AJ221" s="1" t="s">
        <v>58</v>
      </c>
      <c r="AK221" s="1">
        <v>81621.0</v>
      </c>
      <c r="AL221" s="1" t="s">
        <v>59</v>
      </c>
      <c r="AM221" s="1" t="s">
        <v>60</v>
      </c>
      <c r="AN221" s="4" t="s">
        <v>882</v>
      </c>
      <c r="AO221" s="4" t="s">
        <v>883</v>
      </c>
      <c r="AQ221" s="1">
        <v>5039607.0</v>
      </c>
      <c r="AR221" s="1">
        <v>39.373573</v>
      </c>
      <c r="AS221" s="1">
        <v>-107.06549</v>
      </c>
      <c r="AT221" s="5">
        <f t="shared" si="1"/>
        <v>41.81394958</v>
      </c>
      <c r="AU221" s="5">
        <f t="shared" si="2"/>
        <v>44185.20588</v>
      </c>
      <c r="AV221" s="5">
        <f t="shared" si="3"/>
        <v>0.790261382</v>
      </c>
      <c r="AW221" s="5">
        <f t="shared" si="4"/>
        <v>0.9495532508</v>
      </c>
      <c r="AX221" s="5">
        <f t="shared" si="5"/>
        <v>41956.20588</v>
      </c>
    </row>
    <row r="222">
      <c r="A222" s="1" t="s">
        <v>884</v>
      </c>
      <c r="B222" s="1">
        <v>9.6231898E7</v>
      </c>
      <c r="D222" s="1">
        <v>2124.0</v>
      </c>
      <c r="E222" s="1">
        <v>8243.0</v>
      </c>
      <c r="F222" s="1">
        <v>708.0</v>
      </c>
      <c r="G222" s="1">
        <v>17.65</v>
      </c>
      <c r="H222" s="1">
        <v>83.0</v>
      </c>
      <c r="I222" s="1">
        <v>3.0</v>
      </c>
      <c r="J222" s="1">
        <v>3.0</v>
      </c>
      <c r="K222" s="1">
        <v>8.0</v>
      </c>
      <c r="L222" s="1" t="b">
        <v>0</v>
      </c>
      <c r="M222" s="1" t="b">
        <v>0</v>
      </c>
      <c r="N222" s="1" t="b">
        <v>1</v>
      </c>
      <c r="O222" s="1" t="b">
        <v>1</v>
      </c>
      <c r="P222" s="1" t="b">
        <v>1</v>
      </c>
      <c r="Q222" s="1" t="b">
        <v>1</v>
      </c>
      <c r="R222" s="1" t="b">
        <v>1</v>
      </c>
      <c r="S222" s="1" t="s">
        <v>51</v>
      </c>
      <c r="T222" s="1" t="s">
        <v>137</v>
      </c>
      <c r="U222" s="1" t="s">
        <v>53</v>
      </c>
      <c r="V222" s="1">
        <v>4.85</v>
      </c>
      <c r="W222" s="1">
        <v>127.0</v>
      </c>
      <c r="X222" s="1">
        <v>3.0</v>
      </c>
      <c r="Y222" s="2">
        <v>46058.0</v>
      </c>
      <c r="Z222" s="1" t="s">
        <v>54</v>
      </c>
      <c r="AA222" s="1" t="b">
        <v>0</v>
      </c>
      <c r="AB222" s="1">
        <v>275.0</v>
      </c>
      <c r="AC222" s="1" t="b">
        <v>0</v>
      </c>
      <c r="AD222" s="1">
        <v>3.0</v>
      </c>
      <c r="AE222" s="1">
        <v>1.0</v>
      </c>
      <c r="AF222" s="3">
        <v>45911.0</v>
      </c>
      <c r="AG222" s="1" t="s">
        <v>55</v>
      </c>
      <c r="AH222" s="1" t="s">
        <v>72</v>
      </c>
      <c r="AI222" s="1" t="s">
        <v>72</v>
      </c>
      <c r="AJ222" s="1" t="s">
        <v>58</v>
      </c>
      <c r="AK222" s="1">
        <v>81621.0</v>
      </c>
      <c r="AL222" s="1" t="s">
        <v>59</v>
      </c>
      <c r="AM222" s="1" t="s">
        <v>60</v>
      </c>
      <c r="AN222" s="4" t="s">
        <v>885</v>
      </c>
      <c r="AO222" s="4" t="s">
        <v>886</v>
      </c>
      <c r="AP222" s="1" t="s">
        <v>887</v>
      </c>
      <c r="AQ222" s="1">
        <v>449992.0</v>
      </c>
      <c r="AR222" s="1">
        <v>39.3813600448</v>
      </c>
      <c r="AS222" s="1">
        <v>-106.8144964947</v>
      </c>
      <c r="AT222" s="5">
        <f t="shared" si="1"/>
        <v>41.81394958</v>
      </c>
      <c r="AU222" s="5">
        <f t="shared" si="2"/>
        <v>44185.20588</v>
      </c>
      <c r="AV222" s="5">
        <f t="shared" si="3"/>
        <v>0.5778920629</v>
      </c>
      <c r="AW222" s="5">
        <f t="shared" si="4"/>
        <v>0.9519296118</v>
      </c>
      <c r="AX222" s="5">
        <f t="shared" si="5"/>
        <v>42061.20588</v>
      </c>
    </row>
    <row r="223">
      <c r="A223" s="1" t="s">
        <v>888</v>
      </c>
      <c r="B223" s="1">
        <v>5.12326075E8</v>
      </c>
      <c r="D223" s="1">
        <v>1503.0</v>
      </c>
      <c r="E223" s="1">
        <v>2104.0</v>
      </c>
      <c r="F223" s="1">
        <v>501.0</v>
      </c>
      <c r="G223" s="1">
        <v>30.0</v>
      </c>
      <c r="H223" s="1">
        <v>88.0</v>
      </c>
      <c r="I223" s="1">
        <v>1.0</v>
      </c>
      <c r="J223" s="1">
        <v>1.0</v>
      </c>
      <c r="K223" s="1">
        <v>2.0</v>
      </c>
      <c r="L223" s="1" t="b">
        <v>1</v>
      </c>
      <c r="M223" s="1" t="b">
        <v>0</v>
      </c>
      <c r="N223" s="1" t="b">
        <v>0</v>
      </c>
      <c r="O223" s="1" t="b">
        <v>1</v>
      </c>
      <c r="P223" s="1" t="b">
        <v>1</v>
      </c>
      <c r="Q223" s="1" t="b">
        <v>1</v>
      </c>
      <c r="R223" s="1" t="b">
        <v>0</v>
      </c>
      <c r="S223" s="1" t="s">
        <v>51</v>
      </c>
      <c r="T223" s="1" t="s">
        <v>209</v>
      </c>
      <c r="U223" s="1" t="s">
        <v>164</v>
      </c>
      <c r="V223" s="1">
        <v>0.0</v>
      </c>
      <c r="W223" s="1">
        <v>0.0</v>
      </c>
      <c r="X223" s="1">
        <v>1.0</v>
      </c>
      <c r="Y223" s="1">
        <v>1.0</v>
      </c>
      <c r="Z223" s="1" t="s">
        <v>54</v>
      </c>
      <c r="AA223" s="1" t="b">
        <v>0</v>
      </c>
      <c r="AB223" s="1">
        <v>50.0</v>
      </c>
      <c r="AC223" s="1" t="b">
        <v>0</v>
      </c>
      <c r="AD223" s="1">
        <v>3.0</v>
      </c>
      <c r="AE223" s="1">
        <v>1.0</v>
      </c>
      <c r="AF223" s="3">
        <v>45866.0</v>
      </c>
      <c r="AG223" s="1" t="s">
        <v>55</v>
      </c>
      <c r="AH223" s="1" t="s">
        <v>72</v>
      </c>
      <c r="AI223" s="1" t="s">
        <v>56</v>
      </c>
      <c r="AJ223" s="1" t="s">
        <v>58</v>
      </c>
      <c r="AK223" s="1">
        <v>81623.0</v>
      </c>
      <c r="AL223" s="1" t="s">
        <v>59</v>
      </c>
      <c r="AM223" s="1" t="s">
        <v>60</v>
      </c>
      <c r="AN223" s="4" t="s">
        <v>889</v>
      </c>
      <c r="AO223" s="4" t="s">
        <v>890</v>
      </c>
      <c r="AP223" s="1" t="s">
        <v>891</v>
      </c>
      <c r="AR223" s="1">
        <v>39.3900669341</v>
      </c>
      <c r="AS223" s="1">
        <v>-107.0844508432</v>
      </c>
      <c r="AT223" s="5">
        <f t="shared" si="1"/>
        <v>41.81394958</v>
      </c>
      <c r="AU223" s="5">
        <f t="shared" si="2"/>
        <v>44185.20588</v>
      </c>
      <c r="AV223" s="5">
        <f t="shared" si="3"/>
        <v>0.2825360842</v>
      </c>
      <c r="AW223" s="5">
        <f t="shared" si="4"/>
        <v>0.9659840897</v>
      </c>
      <c r="AX223" s="5">
        <f t="shared" si="5"/>
        <v>42682.20588</v>
      </c>
    </row>
    <row r="224">
      <c r="A224" s="1" t="s">
        <v>892</v>
      </c>
      <c r="B224" s="1" t="s">
        <v>98</v>
      </c>
      <c r="D224" s="1">
        <v>812.0</v>
      </c>
      <c r="E224" s="1">
        <v>7333.0</v>
      </c>
      <c r="F224" s="1">
        <v>406.0</v>
      </c>
      <c r="G224" s="1">
        <v>8.7</v>
      </c>
      <c r="H224" s="1">
        <v>27.0</v>
      </c>
      <c r="I224" s="1">
        <v>3.0</v>
      </c>
      <c r="J224" s="1">
        <v>1.0</v>
      </c>
      <c r="K224" s="1">
        <v>6.0</v>
      </c>
      <c r="L224" s="1" t="b">
        <v>0</v>
      </c>
      <c r="M224" s="1" t="b">
        <v>0</v>
      </c>
      <c r="N224" s="1" t="b">
        <v>0</v>
      </c>
      <c r="O224" s="1" t="b">
        <v>1</v>
      </c>
      <c r="P224" s="1" t="b">
        <v>1</v>
      </c>
      <c r="Q224" s="1" t="b">
        <v>1</v>
      </c>
      <c r="R224" s="1" t="b">
        <v>0</v>
      </c>
      <c r="S224" s="1" t="s">
        <v>51</v>
      </c>
      <c r="T224" s="1" t="s">
        <v>65</v>
      </c>
      <c r="U224" s="1" t="s">
        <v>53</v>
      </c>
      <c r="V224" s="1">
        <v>4.95</v>
      </c>
      <c r="W224" s="1">
        <v>26.0</v>
      </c>
      <c r="X224" s="1">
        <v>4.0</v>
      </c>
      <c r="Y224" s="1" t="s">
        <v>71</v>
      </c>
      <c r="Z224" s="1" t="s">
        <v>54</v>
      </c>
      <c r="AA224" s="1" t="b">
        <v>1</v>
      </c>
      <c r="AB224" s="1">
        <v>0.0</v>
      </c>
      <c r="AC224" s="1" t="b">
        <v>0</v>
      </c>
      <c r="AD224" s="1">
        <v>2.0</v>
      </c>
      <c r="AE224" s="1">
        <v>1.0</v>
      </c>
      <c r="AF224" s="3">
        <v>45915.0</v>
      </c>
      <c r="AG224" s="1" t="s">
        <v>55</v>
      </c>
      <c r="AH224" s="1" t="s">
        <v>72</v>
      </c>
      <c r="AI224" s="1" t="s">
        <v>72</v>
      </c>
      <c r="AJ224" s="1" t="s">
        <v>58</v>
      </c>
      <c r="AK224" s="1">
        <v>81621.0</v>
      </c>
      <c r="AL224" s="1" t="s">
        <v>59</v>
      </c>
      <c r="AM224" s="1" t="s">
        <v>60</v>
      </c>
      <c r="AN224" s="4" t="s">
        <v>893</v>
      </c>
      <c r="AO224" s="4" t="s">
        <v>894</v>
      </c>
      <c r="AP224" s="1" t="s">
        <v>895</v>
      </c>
      <c r="AQ224" s="1">
        <v>4049749.0</v>
      </c>
      <c r="AR224" s="1">
        <v>39.37272</v>
      </c>
      <c r="AS224" s="1">
        <v>-107.02917</v>
      </c>
      <c r="AT224" s="5">
        <f t="shared" si="1"/>
        <v>41.81394958</v>
      </c>
      <c r="AU224" s="5">
        <f t="shared" si="2"/>
        <v>44185.20588</v>
      </c>
      <c r="AV224" s="5">
        <f t="shared" si="3"/>
        <v>0.7919354644</v>
      </c>
      <c r="AW224" s="5">
        <f t="shared" si="4"/>
        <v>0.9816228083</v>
      </c>
      <c r="AX224" s="5">
        <f t="shared" si="5"/>
        <v>43373.20588</v>
      </c>
    </row>
    <row r="225">
      <c r="A225" s="1" t="s">
        <v>896</v>
      </c>
      <c r="B225" s="1">
        <v>4.3200591E7</v>
      </c>
      <c r="D225" s="1">
        <v>0.0</v>
      </c>
      <c r="E225" s="1">
        <v>1831.0</v>
      </c>
      <c r="F225" s="1">
        <v>0.0</v>
      </c>
      <c r="G225" s="1">
        <v>0.0</v>
      </c>
      <c r="H225" s="1">
        <v>1.0</v>
      </c>
      <c r="I225" s="1">
        <v>3.0</v>
      </c>
      <c r="J225" s="1">
        <v>2.0</v>
      </c>
      <c r="K225" s="1">
        <v>7.0</v>
      </c>
      <c r="L225" s="1" t="b">
        <v>1</v>
      </c>
      <c r="M225" s="1" t="b">
        <v>0</v>
      </c>
      <c r="N225" s="1" t="b">
        <v>1</v>
      </c>
      <c r="O225" s="1" t="b">
        <v>1</v>
      </c>
      <c r="P225" s="1" t="b">
        <v>1</v>
      </c>
      <c r="Q225" s="1" t="b">
        <v>0</v>
      </c>
      <c r="R225" s="1" t="b">
        <v>0</v>
      </c>
      <c r="S225" s="1" t="s">
        <v>51</v>
      </c>
      <c r="T225" s="1" t="s">
        <v>65</v>
      </c>
      <c r="U225" s="1" t="s">
        <v>53</v>
      </c>
      <c r="V225" s="1">
        <v>5.0</v>
      </c>
      <c r="W225" s="1">
        <v>11.0</v>
      </c>
      <c r="X225" s="1">
        <v>4.0</v>
      </c>
      <c r="Y225" s="1">
        <v>1.0</v>
      </c>
      <c r="Z225" s="1" t="s">
        <v>54</v>
      </c>
      <c r="AA225" s="1" t="b">
        <v>0</v>
      </c>
      <c r="AB225" s="1">
        <v>100.0</v>
      </c>
      <c r="AC225" s="1" t="b">
        <v>0</v>
      </c>
      <c r="AD225" s="1">
        <v>0.0</v>
      </c>
      <c r="AE225" s="1">
        <v>0.0</v>
      </c>
      <c r="AF225" s="3">
        <v>45789.0</v>
      </c>
      <c r="AG225" s="1" t="s">
        <v>55</v>
      </c>
      <c r="AH225" s="1" t="s">
        <v>72</v>
      </c>
      <c r="AI225" s="1" t="s">
        <v>72</v>
      </c>
      <c r="AJ225" s="1" t="s">
        <v>58</v>
      </c>
      <c r="AK225" s="1">
        <v>81621.0</v>
      </c>
      <c r="AL225" s="1" t="s">
        <v>59</v>
      </c>
      <c r="AM225" s="1" t="s">
        <v>60</v>
      </c>
      <c r="AN225" s="4" t="s">
        <v>897</v>
      </c>
      <c r="AO225" s="4" t="s">
        <v>898</v>
      </c>
      <c r="AP225" s="1" t="s">
        <v>899</v>
      </c>
      <c r="AQ225" s="1">
        <v>3902547.0</v>
      </c>
      <c r="AR225" s="1">
        <v>39.378406</v>
      </c>
      <c r="AS225" s="1">
        <v>-107.106316</v>
      </c>
      <c r="AT225" s="5">
        <f t="shared" si="1"/>
        <v>41.81394958</v>
      </c>
      <c r="AU225" s="5">
        <f t="shared" si="2"/>
        <v>44185.20588</v>
      </c>
      <c r="AV225" s="5">
        <f t="shared" si="3"/>
        <v>1</v>
      </c>
      <c r="AW225" s="5">
        <f t="shared" si="4"/>
        <v>1</v>
      </c>
      <c r="AX225" s="5">
        <f t="shared" si="5"/>
        <v>44185.20588</v>
      </c>
    </row>
    <row r="226">
      <c r="A226" s="1" t="s">
        <v>900</v>
      </c>
      <c r="B226" s="1">
        <v>4.28122985E8</v>
      </c>
      <c r="D226" s="1">
        <v>0.0</v>
      </c>
      <c r="E226" s="1">
        <v>4796.0</v>
      </c>
      <c r="F226" s="1">
        <v>0.0</v>
      </c>
      <c r="G226" s="1">
        <v>0.0</v>
      </c>
      <c r="H226" s="1">
        <v>345.0</v>
      </c>
      <c r="I226" s="1">
        <v>3.0</v>
      </c>
      <c r="J226" s="1">
        <v>2.0</v>
      </c>
      <c r="K226" s="1">
        <v>9.0</v>
      </c>
      <c r="L226" s="1" t="b">
        <v>0</v>
      </c>
      <c r="M226" s="1" t="b">
        <v>0</v>
      </c>
      <c r="N226" s="1" t="b">
        <v>0</v>
      </c>
      <c r="O226" s="1" t="b">
        <v>1</v>
      </c>
      <c r="P226" s="1" t="b">
        <v>1</v>
      </c>
      <c r="Q226" s="1" t="b">
        <v>0</v>
      </c>
      <c r="R226" s="1" t="b">
        <v>0</v>
      </c>
      <c r="S226" s="1" t="s">
        <v>51</v>
      </c>
      <c r="T226" s="1" t="s">
        <v>65</v>
      </c>
      <c r="U226" s="1" t="s">
        <v>53</v>
      </c>
      <c r="V226" s="1">
        <v>4.5</v>
      </c>
      <c r="W226" s="1">
        <v>2.0</v>
      </c>
      <c r="X226" s="1">
        <v>3.0</v>
      </c>
      <c r="Y226" s="1">
        <v>1.0</v>
      </c>
      <c r="Z226" s="1" t="s">
        <v>54</v>
      </c>
      <c r="AA226" s="1" t="b">
        <v>0</v>
      </c>
      <c r="AB226" s="1">
        <v>285.0</v>
      </c>
      <c r="AC226" s="1" t="b">
        <v>1</v>
      </c>
      <c r="AD226" s="1">
        <v>0.0</v>
      </c>
      <c r="AE226" s="1">
        <v>0.0</v>
      </c>
      <c r="AF226" s="3">
        <v>46158.0</v>
      </c>
      <c r="AG226" s="1" t="s">
        <v>55</v>
      </c>
      <c r="AH226" s="1" t="s">
        <v>55</v>
      </c>
      <c r="AI226" s="1" t="s">
        <v>551</v>
      </c>
      <c r="AJ226" s="1" t="s">
        <v>58</v>
      </c>
      <c r="AK226" s="1">
        <v>81637.0</v>
      </c>
      <c r="AL226" s="1" t="s">
        <v>59</v>
      </c>
      <c r="AM226" s="1" t="s">
        <v>60</v>
      </c>
      <c r="AN226" s="4" t="s">
        <v>901</v>
      </c>
      <c r="AO226" s="4" t="s">
        <v>902</v>
      </c>
      <c r="AP226" s="1" t="s">
        <v>903</v>
      </c>
      <c r="AQ226" s="1">
        <v>3834302.0</v>
      </c>
      <c r="AR226" s="1">
        <v>39.80042</v>
      </c>
      <c r="AS226" s="1">
        <v>-107.16005</v>
      </c>
      <c r="AT226" s="5">
        <f t="shared" si="1"/>
        <v>41.81394958</v>
      </c>
      <c r="AU226" s="5">
        <f t="shared" si="2"/>
        <v>44185.20588</v>
      </c>
      <c r="AV226" s="5">
        <f t="shared" si="3"/>
        <v>1</v>
      </c>
      <c r="AW226" s="5">
        <f t="shared" si="4"/>
        <v>1</v>
      </c>
      <c r="AX226" s="5">
        <f t="shared" si="5"/>
        <v>44185.20588</v>
      </c>
    </row>
    <row r="227">
      <c r="A227" s="1" t="s">
        <v>904</v>
      </c>
      <c r="B227" s="1">
        <v>3.62869668E8</v>
      </c>
      <c r="D227" s="1">
        <v>0.0</v>
      </c>
      <c r="E227" s="1">
        <v>2773.0</v>
      </c>
      <c r="F227" s="1">
        <v>0.0</v>
      </c>
      <c r="G227" s="1">
        <v>0.0</v>
      </c>
      <c r="H227" s="1">
        <v>22.0</v>
      </c>
      <c r="I227" s="1">
        <v>2.0</v>
      </c>
      <c r="J227" s="1">
        <v>1.0</v>
      </c>
      <c r="K227" s="1">
        <v>5.0</v>
      </c>
      <c r="L227" s="1" t="b">
        <v>0</v>
      </c>
      <c r="M227" s="1" t="b">
        <v>0</v>
      </c>
      <c r="N227" s="1" t="b">
        <v>0</v>
      </c>
      <c r="O227" s="1" t="b">
        <v>0</v>
      </c>
      <c r="P227" s="1" t="b">
        <v>1</v>
      </c>
      <c r="Q227" s="1" t="b">
        <v>1</v>
      </c>
      <c r="R227" s="1" t="b">
        <v>0</v>
      </c>
      <c r="S227" s="1" t="s">
        <v>51</v>
      </c>
      <c r="T227" s="1" t="s">
        <v>65</v>
      </c>
      <c r="U227" s="1" t="s">
        <v>53</v>
      </c>
      <c r="V227" s="1">
        <v>5.0</v>
      </c>
      <c r="W227" s="1">
        <v>3.0</v>
      </c>
      <c r="X227" s="1">
        <v>2.0</v>
      </c>
      <c r="Y227" s="1">
        <v>1.0</v>
      </c>
      <c r="Z227" s="1" t="s">
        <v>54</v>
      </c>
      <c r="AA227" s="1" t="b">
        <v>0</v>
      </c>
      <c r="AB227" s="1">
        <v>200.0</v>
      </c>
      <c r="AC227" s="1" t="b">
        <v>0</v>
      </c>
      <c r="AD227" s="1">
        <v>0.0</v>
      </c>
      <c r="AE227" s="1">
        <v>0.0</v>
      </c>
      <c r="AF227" s="3">
        <v>45793.0</v>
      </c>
      <c r="AG227" s="1" t="s">
        <v>55</v>
      </c>
      <c r="AH227" s="1" t="s">
        <v>72</v>
      </c>
      <c r="AI227" s="1" t="s">
        <v>72</v>
      </c>
      <c r="AJ227" s="1" t="s">
        <v>58</v>
      </c>
      <c r="AK227" s="1">
        <v>81621.0</v>
      </c>
      <c r="AL227" s="1" t="s">
        <v>59</v>
      </c>
      <c r="AM227" s="1" t="s">
        <v>60</v>
      </c>
      <c r="AN227" s="4" t="s">
        <v>905</v>
      </c>
      <c r="AO227" s="4" t="s">
        <v>906</v>
      </c>
      <c r="AP227" s="1" t="s">
        <v>907</v>
      </c>
      <c r="AR227" s="1">
        <v>39.37012</v>
      </c>
      <c r="AS227" s="1">
        <v>-107.03306</v>
      </c>
      <c r="AT227" s="5">
        <f t="shared" si="1"/>
        <v>41.81394958</v>
      </c>
      <c r="AU227" s="5">
        <f t="shared" si="2"/>
        <v>44185.20588</v>
      </c>
      <c r="AV227" s="5">
        <f t="shared" si="3"/>
        <v>1</v>
      </c>
      <c r="AW227" s="5">
        <f t="shared" si="4"/>
        <v>1</v>
      </c>
      <c r="AX227" s="5">
        <f t="shared" si="5"/>
        <v>44185.20588</v>
      </c>
    </row>
    <row r="228">
      <c r="A228" s="1" t="s">
        <v>908</v>
      </c>
      <c r="B228" s="1">
        <v>2.2023341E7</v>
      </c>
      <c r="D228" s="1">
        <v>0.0</v>
      </c>
      <c r="E228" s="1">
        <v>7931.0</v>
      </c>
      <c r="F228" s="1">
        <v>0.0</v>
      </c>
      <c r="G228" s="1">
        <v>0.0</v>
      </c>
      <c r="H228" s="1">
        <v>142.0</v>
      </c>
      <c r="I228" s="1">
        <v>3.0</v>
      </c>
      <c r="J228" s="1">
        <v>2.0</v>
      </c>
      <c r="K228" s="1">
        <v>8.0</v>
      </c>
      <c r="L228" s="1" t="b">
        <v>1</v>
      </c>
      <c r="M228" s="1" t="b">
        <v>0</v>
      </c>
      <c r="N228" s="1" t="b">
        <v>0</v>
      </c>
      <c r="O228" s="1" t="b">
        <v>1</v>
      </c>
      <c r="P228" s="1" t="b">
        <v>1</v>
      </c>
      <c r="Q228" s="1" t="b">
        <v>1</v>
      </c>
      <c r="R228" s="1" t="b">
        <v>0</v>
      </c>
      <c r="S228" s="1" t="s">
        <v>51</v>
      </c>
      <c r="T228" s="1" t="s">
        <v>287</v>
      </c>
      <c r="U228" s="1" t="s">
        <v>164</v>
      </c>
      <c r="V228" s="1">
        <v>4.25</v>
      </c>
      <c r="W228" s="1">
        <v>4.0</v>
      </c>
      <c r="X228" s="1">
        <v>30.0</v>
      </c>
      <c r="Y228" s="2">
        <v>46193.0</v>
      </c>
      <c r="Z228" s="1" t="s">
        <v>54</v>
      </c>
      <c r="AA228" s="1" t="b">
        <v>0</v>
      </c>
      <c r="AB228" s="1">
        <v>595.0</v>
      </c>
      <c r="AC228" s="1" t="b">
        <v>1</v>
      </c>
      <c r="AD228" s="1">
        <v>0.0</v>
      </c>
      <c r="AE228" s="1">
        <v>0.0</v>
      </c>
      <c r="AF228" s="3">
        <v>45948.0</v>
      </c>
      <c r="AG228" s="1" t="s">
        <v>55</v>
      </c>
      <c r="AH228" s="1" t="s">
        <v>72</v>
      </c>
      <c r="AI228" s="1" t="s">
        <v>72</v>
      </c>
      <c r="AJ228" s="1" t="s">
        <v>58</v>
      </c>
      <c r="AK228" s="1">
        <v>81621.0</v>
      </c>
      <c r="AL228" s="1" t="s">
        <v>59</v>
      </c>
      <c r="AM228" s="1" t="s">
        <v>60</v>
      </c>
      <c r="AN228" s="4" t="s">
        <v>909</v>
      </c>
      <c r="AO228" s="4" t="s">
        <v>910</v>
      </c>
      <c r="AP228" s="1" t="s">
        <v>911</v>
      </c>
      <c r="AR228" s="1">
        <v>39.378831396</v>
      </c>
      <c r="AS228" s="1">
        <v>-107.0830053768</v>
      </c>
      <c r="AT228" s="5">
        <f t="shared" si="1"/>
        <v>41.81394958</v>
      </c>
      <c r="AU228" s="5">
        <f t="shared" si="2"/>
        <v>44185.20588</v>
      </c>
      <c r="AV228" s="5">
        <f t="shared" si="3"/>
        <v>1</v>
      </c>
      <c r="AW228" s="5">
        <f t="shared" si="4"/>
        <v>1</v>
      </c>
      <c r="AX228" s="5">
        <f t="shared" si="5"/>
        <v>44185.20588</v>
      </c>
    </row>
    <row r="229">
      <c r="A229" s="1" t="s">
        <v>912</v>
      </c>
      <c r="B229" s="1">
        <v>2.1488565E7</v>
      </c>
      <c r="D229" s="1">
        <v>0.0</v>
      </c>
      <c r="E229" s="1">
        <v>3245.0</v>
      </c>
      <c r="F229" s="1">
        <v>0.0</v>
      </c>
      <c r="G229" s="1">
        <v>0.0</v>
      </c>
      <c r="H229" s="1">
        <v>3.0</v>
      </c>
      <c r="I229" s="1">
        <v>1.0</v>
      </c>
      <c r="J229" s="1">
        <v>1.0</v>
      </c>
      <c r="K229" s="1">
        <v>4.0</v>
      </c>
      <c r="L229" s="1" t="b">
        <v>0</v>
      </c>
      <c r="M229" s="1" t="b">
        <v>0</v>
      </c>
      <c r="N229" s="1" t="b">
        <v>0</v>
      </c>
      <c r="O229" s="1" t="b">
        <v>0</v>
      </c>
      <c r="P229" s="1" t="b">
        <v>1</v>
      </c>
      <c r="Q229" s="1" t="b">
        <v>0</v>
      </c>
      <c r="R229" s="1" t="b">
        <v>0</v>
      </c>
      <c r="S229" s="1" t="s">
        <v>51</v>
      </c>
      <c r="T229" s="1" t="s">
        <v>913</v>
      </c>
      <c r="U229" s="1" t="s">
        <v>257</v>
      </c>
      <c r="V229" s="1">
        <v>5.0</v>
      </c>
      <c r="W229" s="1">
        <v>1.0</v>
      </c>
      <c r="X229" s="1">
        <v>2.0</v>
      </c>
      <c r="Y229" s="2">
        <v>46058.0</v>
      </c>
      <c r="Z229" s="1" t="s">
        <v>54</v>
      </c>
      <c r="AA229" s="1" t="b">
        <v>1</v>
      </c>
      <c r="AB229" s="1">
        <v>134.0</v>
      </c>
      <c r="AC229" s="1" t="b">
        <v>1</v>
      </c>
      <c r="AD229" s="1">
        <v>0.0</v>
      </c>
      <c r="AE229" s="1">
        <v>0.0</v>
      </c>
      <c r="AF229" s="3">
        <v>46155.0</v>
      </c>
      <c r="AG229" s="1" t="s">
        <v>55</v>
      </c>
      <c r="AH229" s="1" t="s">
        <v>72</v>
      </c>
      <c r="AI229" s="1" t="s">
        <v>72</v>
      </c>
      <c r="AJ229" s="1" t="s">
        <v>58</v>
      </c>
      <c r="AK229" s="1">
        <v>81621.0</v>
      </c>
      <c r="AL229" s="1" t="s">
        <v>59</v>
      </c>
      <c r="AM229" s="1" t="s">
        <v>60</v>
      </c>
      <c r="AN229" s="4" t="s">
        <v>914</v>
      </c>
      <c r="AO229" s="4" t="s">
        <v>915</v>
      </c>
      <c r="AP229" s="1">
        <v>1.9549806E7</v>
      </c>
      <c r="AR229" s="1">
        <v>39.3914</v>
      </c>
      <c r="AS229" s="1">
        <v>-106.82901</v>
      </c>
      <c r="AT229" s="5">
        <f t="shared" si="1"/>
        <v>41.81394958</v>
      </c>
      <c r="AU229" s="5">
        <f t="shared" si="2"/>
        <v>44185.20588</v>
      </c>
      <c r="AV229" s="5">
        <f t="shared" si="3"/>
        <v>1</v>
      </c>
      <c r="AW229" s="5">
        <f t="shared" si="4"/>
        <v>1</v>
      </c>
      <c r="AX229" s="5">
        <f t="shared" si="5"/>
        <v>44185.20588</v>
      </c>
    </row>
    <row r="230">
      <c r="A230" s="1" t="s">
        <v>916</v>
      </c>
      <c r="B230" s="1">
        <v>1.85879168E8</v>
      </c>
      <c r="D230" s="1">
        <v>0.0</v>
      </c>
      <c r="E230" s="1">
        <v>2.0</v>
      </c>
      <c r="F230" s="1">
        <v>0.0</v>
      </c>
      <c r="G230" s="1">
        <v>0.0</v>
      </c>
      <c r="H230" s="1">
        <v>83.0</v>
      </c>
      <c r="I230" s="1">
        <v>1.0</v>
      </c>
      <c r="J230" s="1">
        <v>1.0</v>
      </c>
      <c r="K230" s="1">
        <v>4.0</v>
      </c>
      <c r="L230" s="1" t="b">
        <v>0</v>
      </c>
      <c r="M230" s="1" t="b">
        <v>0</v>
      </c>
      <c r="N230" s="1" t="b">
        <v>0</v>
      </c>
      <c r="O230" s="1" t="b">
        <v>1</v>
      </c>
      <c r="P230" s="1" t="b">
        <v>1</v>
      </c>
      <c r="Q230" s="1" t="b">
        <v>0</v>
      </c>
      <c r="R230" s="1" t="b">
        <v>0</v>
      </c>
      <c r="S230" s="1" t="s">
        <v>51</v>
      </c>
      <c r="T230" s="1" t="s">
        <v>209</v>
      </c>
      <c r="U230" s="1" t="s">
        <v>164</v>
      </c>
      <c r="V230" s="1">
        <v>0.0</v>
      </c>
      <c r="W230" s="1">
        <v>0.0</v>
      </c>
      <c r="X230" s="1">
        <v>3.0</v>
      </c>
      <c r="Y230" s="2">
        <v>46058.0</v>
      </c>
      <c r="Z230" s="1" t="s">
        <v>54</v>
      </c>
      <c r="AA230" s="1" t="b">
        <v>0</v>
      </c>
      <c r="AB230" s="1">
        <v>150.0</v>
      </c>
      <c r="AC230" s="1" t="b">
        <v>1</v>
      </c>
      <c r="AD230" s="1">
        <v>0.0</v>
      </c>
      <c r="AE230" s="1">
        <v>0.0</v>
      </c>
      <c r="AF230" s="3">
        <v>43269.0</v>
      </c>
      <c r="AG230" s="1" t="s">
        <v>55</v>
      </c>
      <c r="AH230" s="1" t="s">
        <v>72</v>
      </c>
      <c r="AI230" s="1" t="s">
        <v>72</v>
      </c>
      <c r="AJ230" s="1" t="s">
        <v>58</v>
      </c>
      <c r="AK230" s="1">
        <v>81621.0</v>
      </c>
      <c r="AL230" s="1" t="s">
        <v>59</v>
      </c>
      <c r="AM230" s="1" t="s">
        <v>60</v>
      </c>
      <c r="AN230" s="4" t="s">
        <v>917</v>
      </c>
      <c r="AO230" s="4" t="s">
        <v>918</v>
      </c>
      <c r="AP230" s="1">
        <v>2.4597604E7</v>
      </c>
      <c r="AQ230" s="1">
        <v>4586049.0</v>
      </c>
      <c r="AR230" s="1">
        <v>39.3868440456</v>
      </c>
      <c r="AS230" s="1">
        <v>-107.0851249066</v>
      </c>
      <c r="AT230" s="5">
        <f t="shared" si="1"/>
        <v>41.81394958</v>
      </c>
      <c r="AU230" s="5">
        <f t="shared" si="2"/>
        <v>44185.20588</v>
      </c>
      <c r="AV230" s="5">
        <f t="shared" si="3"/>
        <v>1</v>
      </c>
      <c r="AW230" s="5">
        <f t="shared" si="4"/>
        <v>1</v>
      </c>
      <c r="AX230" s="5">
        <f t="shared" si="5"/>
        <v>44185.20588</v>
      </c>
    </row>
    <row r="231">
      <c r="A231" s="1" t="s">
        <v>919</v>
      </c>
      <c r="B231" s="1">
        <v>1.50822767E8</v>
      </c>
      <c r="D231" s="1">
        <v>0.0</v>
      </c>
      <c r="E231" s="1">
        <v>12340.0</v>
      </c>
      <c r="F231" s="1">
        <v>0.0</v>
      </c>
      <c r="G231" s="1">
        <v>0.0</v>
      </c>
      <c r="H231" s="1">
        <v>6.0</v>
      </c>
      <c r="I231" s="1">
        <v>2.0</v>
      </c>
      <c r="J231" s="1">
        <v>2.0</v>
      </c>
      <c r="K231" s="1">
        <v>6.0</v>
      </c>
      <c r="L231" s="1" t="b">
        <v>1</v>
      </c>
      <c r="M231" s="1" t="b">
        <v>0</v>
      </c>
      <c r="N231" s="1" t="b">
        <v>0</v>
      </c>
      <c r="O231" s="1" t="b">
        <v>1</v>
      </c>
      <c r="P231" s="1" t="b">
        <v>1</v>
      </c>
      <c r="Q231" s="1" t="b">
        <v>0</v>
      </c>
      <c r="R231" s="1" t="b">
        <v>0</v>
      </c>
      <c r="S231" s="1" t="s">
        <v>51</v>
      </c>
      <c r="T231" s="1" t="s">
        <v>65</v>
      </c>
      <c r="U231" s="1" t="s">
        <v>53</v>
      </c>
      <c r="V231" s="1">
        <v>4.95</v>
      </c>
      <c r="W231" s="1">
        <v>53.0</v>
      </c>
      <c r="X231" s="1">
        <v>3.0</v>
      </c>
      <c r="Y231" s="1">
        <v>1.0</v>
      </c>
      <c r="Z231" s="1" t="s">
        <v>54</v>
      </c>
      <c r="AA231" s="1" t="b">
        <v>0</v>
      </c>
      <c r="AB231" s="1">
        <v>150.0</v>
      </c>
      <c r="AC231" s="1" t="b">
        <v>0</v>
      </c>
      <c r="AD231" s="1">
        <v>0.0</v>
      </c>
      <c r="AE231" s="1">
        <v>0.0</v>
      </c>
      <c r="AF231" s="3">
        <v>46155.0</v>
      </c>
      <c r="AG231" s="1" t="s">
        <v>55</v>
      </c>
      <c r="AH231" s="1" t="s">
        <v>55</v>
      </c>
      <c r="AI231" s="1" t="s">
        <v>55</v>
      </c>
      <c r="AJ231" s="1" t="s">
        <v>58</v>
      </c>
      <c r="AK231" s="1">
        <v>81601.0</v>
      </c>
      <c r="AL231" s="1" t="s">
        <v>59</v>
      </c>
      <c r="AM231" s="1" t="s">
        <v>60</v>
      </c>
      <c r="AN231" s="4" t="s">
        <v>920</v>
      </c>
      <c r="AO231" s="4" t="s">
        <v>921</v>
      </c>
      <c r="AP231" s="1">
        <v>2.8159901E7</v>
      </c>
      <c r="AR231" s="1">
        <v>39.51207</v>
      </c>
      <c r="AS231" s="1">
        <v>-107.31737</v>
      </c>
      <c r="AT231" s="5">
        <f t="shared" si="1"/>
        <v>41.81394958</v>
      </c>
      <c r="AU231" s="5">
        <f t="shared" si="2"/>
        <v>44185.20588</v>
      </c>
      <c r="AV231" s="5">
        <f t="shared" si="3"/>
        <v>1</v>
      </c>
      <c r="AW231" s="5">
        <f t="shared" si="4"/>
        <v>1</v>
      </c>
      <c r="AX231" s="5">
        <f t="shared" si="5"/>
        <v>44185.20588</v>
      </c>
    </row>
    <row r="232">
      <c r="A232" s="1" t="s">
        <v>922</v>
      </c>
      <c r="B232" s="1">
        <v>3.07893869E8</v>
      </c>
      <c r="D232" s="1">
        <v>0.0</v>
      </c>
      <c r="E232" s="1">
        <v>0.0</v>
      </c>
      <c r="F232" s="1">
        <v>0.0</v>
      </c>
      <c r="G232" s="1">
        <v>0.0</v>
      </c>
      <c r="H232" s="1">
        <v>59.0</v>
      </c>
      <c r="I232" s="1">
        <v>1.0</v>
      </c>
      <c r="J232" s="1">
        <v>1.0</v>
      </c>
      <c r="K232" s="1">
        <v>4.0</v>
      </c>
      <c r="L232" s="1" t="b">
        <v>1</v>
      </c>
      <c r="M232" s="1" t="b">
        <v>0</v>
      </c>
      <c r="N232" s="1" t="b">
        <v>0</v>
      </c>
      <c r="O232" s="1" t="b">
        <v>1</v>
      </c>
      <c r="P232" s="1" t="b">
        <v>1</v>
      </c>
      <c r="Q232" s="1" t="b">
        <v>0</v>
      </c>
      <c r="R232" s="1" t="b">
        <v>0</v>
      </c>
      <c r="S232" s="1" t="s">
        <v>51</v>
      </c>
      <c r="T232" s="1" t="s">
        <v>759</v>
      </c>
      <c r="U232" s="1" t="s">
        <v>53</v>
      </c>
      <c r="V232" s="1">
        <v>4.95</v>
      </c>
      <c r="W232" s="1">
        <v>29.0</v>
      </c>
      <c r="X232" s="1">
        <v>2.0</v>
      </c>
      <c r="Y232" s="2">
        <v>46058.0</v>
      </c>
      <c r="Z232" s="1" t="s">
        <v>54</v>
      </c>
      <c r="AA232" s="1" t="b">
        <v>0</v>
      </c>
      <c r="AB232" s="1">
        <v>100.0</v>
      </c>
      <c r="AC232" s="1" t="b">
        <v>0</v>
      </c>
      <c r="AD232" s="1">
        <v>0.0</v>
      </c>
      <c r="AE232" s="1">
        <v>0.0</v>
      </c>
      <c r="AF232" s="3">
        <v>46052.0</v>
      </c>
      <c r="AG232" s="1" t="s">
        <v>55</v>
      </c>
      <c r="AH232" s="1" t="s">
        <v>72</v>
      </c>
      <c r="AI232" s="1" t="s">
        <v>72</v>
      </c>
      <c r="AJ232" s="1" t="s">
        <v>58</v>
      </c>
      <c r="AK232" s="1">
        <v>81621.0</v>
      </c>
      <c r="AL232" s="1" t="s">
        <v>59</v>
      </c>
      <c r="AM232" s="1" t="s">
        <v>60</v>
      </c>
      <c r="AN232" s="4" t="s">
        <v>923</v>
      </c>
      <c r="AO232" s="4" t="s">
        <v>924</v>
      </c>
      <c r="AP232" s="1">
        <v>3.994273E7</v>
      </c>
      <c r="AR232" s="1">
        <v>39.37085</v>
      </c>
      <c r="AS232" s="1">
        <v>-107.08368</v>
      </c>
      <c r="AT232" s="5">
        <f t="shared" si="1"/>
        <v>41.81394958</v>
      </c>
      <c r="AU232" s="5">
        <f t="shared" si="2"/>
        <v>44185.20588</v>
      </c>
      <c r="AV232" s="5">
        <f t="shared" si="3"/>
        <v>1</v>
      </c>
      <c r="AW232" s="5">
        <f t="shared" si="4"/>
        <v>1</v>
      </c>
      <c r="AX232" s="5">
        <f t="shared" si="5"/>
        <v>44185.20588</v>
      </c>
    </row>
    <row r="233">
      <c r="A233" s="1" t="s">
        <v>925</v>
      </c>
      <c r="B233" s="1">
        <v>1.48823019E8</v>
      </c>
      <c r="D233" s="1">
        <v>0.0</v>
      </c>
      <c r="E233" s="1">
        <v>295.0</v>
      </c>
      <c r="F233" s="1">
        <v>0.0</v>
      </c>
      <c r="G233" s="1">
        <v>0.0</v>
      </c>
      <c r="H233" s="1">
        <v>56.0</v>
      </c>
      <c r="I233" s="1">
        <v>1.0</v>
      </c>
      <c r="J233" s="1">
        <v>2.0</v>
      </c>
      <c r="K233" s="1">
        <v>2.0</v>
      </c>
      <c r="L233" s="1" t="b">
        <v>1</v>
      </c>
      <c r="M233" s="1" t="b">
        <v>0</v>
      </c>
      <c r="N233" s="1" t="b">
        <v>0</v>
      </c>
      <c r="O233" s="1" t="b">
        <v>1</v>
      </c>
      <c r="P233" s="1" t="b">
        <v>1</v>
      </c>
      <c r="Q233" s="1" t="b">
        <v>0</v>
      </c>
      <c r="R233" s="1" t="b">
        <v>0</v>
      </c>
      <c r="S233" s="1" t="s">
        <v>51</v>
      </c>
      <c r="T233" s="1" t="s">
        <v>209</v>
      </c>
      <c r="U233" s="1" t="s">
        <v>164</v>
      </c>
      <c r="V233" s="1">
        <v>0.0</v>
      </c>
      <c r="W233" s="1">
        <v>0.0</v>
      </c>
      <c r="X233" s="1">
        <v>3.0</v>
      </c>
      <c r="Y233" s="1">
        <v>1.0</v>
      </c>
      <c r="Z233" s="1" t="s">
        <v>54</v>
      </c>
      <c r="AA233" s="1" t="b">
        <v>0</v>
      </c>
      <c r="AB233" s="1">
        <v>40.0</v>
      </c>
      <c r="AC233" s="1" t="b">
        <v>0</v>
      </c>
      <c r="AD233" s="1">
        <v>0.0</v>
      </c>
      <c r="AE233" s="1">
        <v>0.0</v>
      </c>
      <c r="AF233" s="3">
        <v>45852.0</v>
      </c>
      <c r="AG233" s="1" t="s">
        <v>55</v>
      </c>
      <c r="AH233" s="1" t="s">
        <v>55</v>
      </c>
      <c r="AI233" s="1" t="s">
        <v>55</v>
      </c>
      <c r="AJ233" s="1" t="s">
        <v>58</v>
      </c>
      <c r="AK233" s="1">
        <v>81601.0</v>
      </c>
      <c r="AL233" s="1" t="s">
        <v>59</v>
      </c>
      <c r="AM233" s="1" t="s">
        <v>60</v>
      </c>
      <c r="AN233" s="4" t="s">
        <v>926</v>
      </c>
      <c r="AO233" s="4" t="s">
        <v>927</v>
      </c>
      <c r="AP233" s="1" t="s">
        <v>928</v>
      </c>
      <c r="AR233" s="1">
        <v>39.54698</v>
      </c>
      <c r="AS233" s="1">
        <v>-107.32396</v>
      </c>
      <c r="AT233" s="5">
        <f t="shared" si="1"/>
        <v>41.81394958</v>
      </c>
      <c r="AU233" s="5">
        <f t="shared" si="2"/>
        <v>44185.20588</v>
      </c>
      <c r="AV233" s="5">
        <f t="shared" si="3"/>
        <v>1</v>
      </c>
      <c r="AW233" s="5">
        <f t="shared" si="4"/>
        <v>1</v>
      </c>
      <c r="AX233" s="5">
        <f t="shared" si="5"/>
        <v>44185.20588</v>
      </c>
    </row>
    <row r="234">
      <c r="A234" s="1" t="s">
        <v>929</v>
      </c>
      <c r="B234" s="1">
        <v>1.9378911E7</v>
      </c>
      <c r="D234" s="1">
        <v>0.0</v>
      </c>
      <c r="E234" s="1">
        <v>12871.0</v>
      </c>
      <c r="F234" s="1">
        <v>0.0</v>
      </c>
      <c r="G234" s="1">
        <v>0.0</v>
      </c>
      <c r="H234" s="1">
        <v>71.0</v>
      </c>
      <c r="I234" s="1">
        <v>4.0</v>
      </c>
      <c r="J234" s="1">
        <v>3.0</v>
      </c>
      <c r="K234" s="1">
        <v>10.0</v>
      </c>
      <c r="L234" s="1" t="b">
        <v>0</v>
      </c>
      <c r="M234" s="1" t="b">
        <v>0</v>
      </c>
      <c r="N234" s="1" t="b">
        <v>1</v>
      </c>
      <c r="O234" s="1" t="b">
        <v>1</v>
      </c>
      <c r="P234" s="1" t="b">
        <v>1</v>
      </c>
      <c r="Q234" s="1" t="b">
        <v>1</v>
      </c>
      <c r="R234" s="1" t="b">
        <v>0</v>
      </c>
      <c r="S234" s="1" t="s">
        <v>51</v>
      </c>
      <c r="T234" s="1" t="s">
        <v>65</v>
      </c>
      <c r="U234" s="1" t="s">
        <v>53</v>
      </c>
      <c r="V234" s="1">
        <v>5.0</v>
      </c>
      <c r="W234" s="1">
        <v>12.0</v>
      </c>
      <c r="X234" s="1">
        <v>7.0</v>
      </c>
      <c r="Y234" s="1">
        <v>1.0</v>
      </c>
      <c r="Z234" s="1" t="s">
        <v>54</v>
      </c>
      <c r="AA234" s="1" t="b">
        <v>0</v>
      </c>
      <c r="AB234" s="1">
        <v>375.0</v>
      </c>
      <c r="AC234" s="1" t="b">
        <v>0</v>
      </c>
      <c r="AD234" s="1">
        <v>0.0</v>
      </c>
      <c r="AE234" s="1">
        <v>0.0</v>
      </c>
      <c r="AF234" s="3">
        <v>45355.0</v>
      </c>
      <c r="AG234" s="1" t="s">
        <v>55</v>
      </c>
      <c r="AH234" s="1" t="s">
        <v>72</v>
      </c>
      <c r="AI234" s="1" t="s">
        <v>72</v>
      </c>
      <c r="AJ234" s="1" t="s">
        <v>58</v>
      </c>
      <c r="AK234" s="1">
        <v>81621.0</v>
      </c>
      <c r="AL234" s="1" t="s">
        <v>59</v>
      </c>
      <c r="AM234" s="1" t="s">
        <v>60</v>
      </c>
      <c r="AN234" s="4" t="s">
        <v>930</v>
      </c>
      <c r="AO234" s="4" t="s">
        <v>931</v>
      </c>
      <c r="AP234" s="1" t="s">
        <v>932</v>
      </c>
      <c r="AQ234" s="1">
        <v>875850.0</v>
      </c>
      <c r="AR234" s="1">
        <v>39.37221</v>
      </c>
      <c r="AS234" s="1">
        <v>-107.02897</v>
      </c>
      <c r="AT234" s="5">
        <f t="shared" si="1"/>
        <v>41.81394958</v>
      </c>
      <c r="AU234" s="5">
        <f t="shared" si="2"/>
        <v>44185.20588</v>
      </c>
      <c r="AV234" s="5">
        <f t="shared" si="3"/>
        <v>1</v>
      </c>
      <c r="AW234" s="5">
        <f t="shared" si="4"/>
        <v>1</v>
      </c>
      <c r="AX234" s="5">
        <f t="shared" si="5"/>
        <v>44185.20588</v>
      </c>
    </row>
    <row r="235">
      <c r="A235" s="1" t="s">
        <v>933</v>
      </c>
      <c r="D235" s="1">
        <v>0.0</v>
      </c>
      <c r="E235" s="1">
        <v>8825.0</v>
      </c>
      <c r="F235" s="1">
        <v>0.0</v>
      </c>
      <c r="G235" s="1">
        <v>0.0</v>
      </c>
      <c r="H235" s="1">
        <v>298.0</v>
      </c>
      <c r="I235" s="1">
        <v>3.0</v>
      </c>
      <c r="J235" s="1">
        <v>3.0</v>
      </c>
      <c r="K235" s="1">
        <v>8.0</v>
      </c>
      <c r="L235" s="1" t="b">
        <v>1</v>
      </c>
      <c r="M235" s="1" t="b">
        <v>0</v>
      </c>
      <c r="N235" s="1" t="b">
        <v>1</v>
      </c>
      <c r="O235" s="1" t="b">
        <v>1</v>
      </c>
      <c r="P235" s="1" t="b">
        <v>1</v>
      </c>
      <c r="Q235" s="1" t="b">
        <v>1</v>
      </c>
      <c r="R235" s="1" t="b">
        <v>0</v>
      </c>
      <c r="S235" s="1" t="s">
        <v>51</v>
      </c>
      <c r="T235" s="1" t="s">
        <v>65</v>
      </c>
      <c r="U235" s="1" t="s">
        <v>53</v>
      </c>
      <c r="V235" s="1">
        <v>5.0</v>
      </c>
      <c r="W235" s="1">
        <v>8.0</v>
      </c>
      <c r="X235" s="1">
        <v>31.0</v>
      </c>
      <c r="Y235" s="1">
        <v>1.0</v>
      </c>
      <c r="Z235" s="1" t="s">
        <v>54</v>
      </c>
      <c r="AA235" s="1" t="b">
        <v>0</v>
      </c>
      <c r="AB235" s="1">
        <v>400.0</v>
      </c>
      <c r="AC235" s="1" t="b">
        <v>0</v>
      </c>
      <c r="AD235" s="1">
        <v>0.0</v>
      </c>
      <c r="AE235" s="1">
        <v>0.0</v>
      </c>
      <c r="AF235" s="3">
        <v>46156.0</v>
      </c>
      <c r="AG235" s="1" t="s">
        <v>55</v>
      </c>
      <c r="AH235" s="1" t="s">
        <v>72</v>
      </c>
      <c r="AI235" s="1" t="s">
        <v>72</v>
      </c>
      <c r="AJ235" s="1" t="s">
        <v>58</v>
      </c>
      <c r="AK235" s="1">
        <v>81621.0</v>
      </c>
      <c r="AL235" s="1" t="s">
        <v>59</v>
      </c>
      <c r="AM235" s="1" t="s">
        <v>60</v>
      </c>
      <c r="AN235" s="4" t="s">
        <v>934</v>
      </c>
      <c r="AO235" s="4" t="s">
        <v>935</v>
      </c>
      <c r="AQ235" s="1">
        <v>2497783.0</v>
      </c>
      <c r="AR235" s="1">
        <v>39.373994</v>
      </c>
      <c r="AS235" s="1">
        <v>-107.030206</v>
      </c>
      <c r="AT235" s="5">
        <f t="shared" si="1"/>
        <v>41.81394958</v>
      </c>
      <c r="AU235" s="5">
        <f t="shared" si="2"/>
        <v>44185.20588</v>
      </c>
      <c r="AV235" s="5">
        <f t="shared" si="3"/>
        <v>1</v>
      </c>
      <c r="AW235" s="5">
        <f t="shared" si="4"/>
        <v>1</v>
      </c>
      <c r="AX235" s="5">
        <f t="shared" si="5"/>
        <v>44185.20588</v>
      </c>
    </row>
    <row r="236">
      <c r="A236" s="1" t="s">
        <v>936</v>
      </c>
      <c r="D236" s="1">
        <v>0.0</v>
      </c>
      <c r="E236" s="1">
        <v>103.0</v>
      </c>
      <c r="F236" s="1">
        <v>0.0</v>
      </c>
      <c r="G236" s="1">
        <v>0.0</v>
      </c>
      <c r="H236" s="1">
        <v>364.0</v>
      </c>
      <c r="I236" s="1">
        <v>3.0</v>
      </c>
      <c r="J236" s="1">
        <v>2.0</v>
      </c>
      <c r="K236" s="1">
        <v>5.0</v>
      </c>
      <c r="L236" s="1" t="b">
        <v>0</v>
      </c>
      <c r="M236" s="1" t="b">
        <v>0</v>
      </c>
      <c r="N236" s="1" t="b">
        <v>0</v>
      </c>
      <c r="O236" s="1" t="b">
        <v>0</v>
      </c>
      <c r="P236" s="1" t="b">
        <v>0</v>
      </c>
      <c r="Q236" s="1" t="b">
        <v>1</v>
      </c>
      <c r="R236" s="1" t="b">
        <v>0</v>
      </c>
      <c r="S236" s="1" t="s">
        <v>51</v>
      </c>
      <c r="T236" s="1" t="s">
        <v>65</v>
      </c>
      <c r="U236" s="1" t="s">
        <v>53</v>
      </c>
      <c r="V236" s="1">
        <v>0.0</v>
      </c>
      <c r="W236" s="1">
        <v>0.0</v>
      </c>
      <c r="X236" s="1">
        <v>7.0</v>
      </c>
      <c r="Y236" s="1">
        <v>1.0</v>
      </c>
      <c r="Z236" s="1" t="s">
        <v>54</v>
      </c>
      <c r="AA236" s="1" t="b">
        <v>0</v>
      </c>
      <c r="AB236" s="1">
        <v>500.0</v>
      </c>
      <c r="AC236" s="1" t="b">
        <v>1</v>
      </c>
      <c r="AD236" s="1">
        <v>0.0</v>
      </c>
      <c r="AE236" s="1">
        <v>0.0</v>
      </c>
      <c r="AF236" s="3">
        <v>46152.0</v>
      </c>
      <c r="AG236" s="1" t="s">
        <v>55</v>
      </c>
      <c r="AH236" s="1" t="s">
        <v>72</v>
      </c>
      <c r="AI236" s="1" t="s">
        <v>56</v>
      </c>
      <c r="AJ236" s="1" t="s">
        <v>58</v>
      </c>
      <c r="AK236" s="1">
        <v>81623.0</v>
      </c>
      <c r="AL236" s="1" t="s">
        <v>59</v>
      </c>
      <c r="AM236" s="1" t="s">
        <v>60</v>
      </c>
      <c r="AN236" s="4" t="s">
        <v>937</v>
      </c>
      <c r="AO236" s="4" t="s">
        <v>938</v>
      </c>
      <c r="AQ236" s="1">
        <v>3127235.0</v>
      </c>
      <c r="AR236" s="1">
        <v>39.394287</v>
      </c>
      <c r="AS236" s="1">
        <v>-107.099976</v>
      </c>
      <c r="AT236" s="5">
        <f t="shared" si="1"/>
        <v>41.81394958</v>
      </c>
      <c r="AU236" s="5">
        <f t="shared" si="2"/>
        <v>44185.20588</v>
      </c>
      <c r="AV236" s="5">
        <f t="shared" si="3"/>
        <v>1</v>
      </c>
      <c r="AW236" s="5">
        <f t="shared" si="4"/>
        <v>1</v>
      </c>
      <c r="AX236" s="5">
        <f t="shared" si="5"/>
        <v>44185.20588</v>
      </c>
    </row>
    <row r="237">
      <c r="A237" s="1" t="s">
        <v>939</v>
      </c>
      <c r="D237" s="1">
        <v>0.0</v>
      </c>
      <c r="E237" s="1">
        <v>0.0</v>
      </c>
      <c r="F237" s="1">
        <v>0.0</v>
      </c>
      <c r="G237" s="1">
        <v>0.0</v>
      </c>
      <c r="H237" s="1">
        <v>30.0</v>
      </c>
      <c r="I237" s="1">
        <v>1.0</v>
      </c>
      <c r="K237" s="1">
        <v>2.0</v>
      </c>
      <c r="L237" s="1" t="b">
        <v>0</v>
      </c>
      <c r="M237" s="1" t="b">
        <v>0</v>
      </c>
      <c r="N237" s="1" t="b">
        <v>0</v>
      </c>
      <c r="O237" s="1" t="b">
        <v>0</v>
      </c>
      <c r="P237" s="1" t="b">
        <v>0</v>
      </c>
      <c r="Q237" s="1" t="b">
        <v>1</v>
      </c>
      <c r="R237" s="1" t="b">
        <v>0</v>
      </c>
      <c r="S237" s="1" t="s">
        <v>51</v>
      </c>
      <c r="T237" s="1" t="s">
        <v>65</v>
      </c>
      <c r="U237" s="1" t="s">
        <v>53</v>
      </c>
      <c r="V237" s="1">
        <v>5.0</v>
      </c>
      <c r="W237" s="1">
        <v>2.0</v>
      </c>
      <c r="X237" s="1">
        <v>1.0</v>
      </c>
      <c r="Y237" s="1">
        <v>1.0</v>
      </c>
      <c r="Z237" s="1" t="s">
        <v>54</v>
      </c>
      <c r="AA237" s="1" t="b">
        <v>0</v>
      </c>
      <c r="AB237" s="1">
        <v>100.0</v>
      </c>
      <c r="AC237" s="1" t="b">
        <v>0</v>
      </c>
      <c r="AD237" s="1">
        <v>0.0</v>
      </c>
      <c r="AE237" s="1">
        <v>0.0</v>
      </c>
      <c r="AF237" s="3">
        <v>46159.0</v>
      </c>
      <c r="AG237" s="1" t="s">
        <v>55</v>
      </c>
      <c r="AH237" s="1" t="s">
        <v>72</v>
      </c>
      <c r="AI237" s="1" t="s">
        <v>72</v>
      </c>
      <c r="AJ237" s="1" t="s">
        <v>58</v>
      </c>
      <c r="AK237" s="1">
        <v>81621.0</v>
      </c>
      <c r="AL237" s="1" t="s">
        <v>59</v>
      </c>
      <c r="AM237" s="1" t="s">
        <v>60</v>
      </c>
      <c r="AN237" s="4" t="s">
        <v>940</v>
      </c>
      <c r="AO237" s="4" t="s">
        <v>941</v>
      </c>
      <c r="AQ237" s="1">
        <v>4099583.0</v>
      </c>
      <c r="AR237" s="1">
        <v>39.380188</v>
      </c>
      <c r="AS237" s="1">
        <v>-107.072914</v>
      </c>
      <c r="AT237" s="5">
        <f t="shared" si="1"/>
        <v>41.81394958</v>
      </c>
      <c r="AU237" s="5">
        <f t="shared" si="2"/>
        <v>44185.20588</v>
      </c>
      <c r="AV237" s="5">
        <f t="shared" si="3"/>
        <v>1</v>
      </c>
      <c r="AW237" s="5">
        <f t="shared" si="4"/>
        <v>1</v>
      </c>
      <c r="AX237" s="5">
        <f t="shared" si="5"/>
        <v>44185.20588</v>
      </c>
    </row>
    <row r="238">
      <c r="A238" s="1" t="s">
        <v>645</v>
      </c>
      <c r="D238" s="1">
        <v>0.0</v>
      </c>
      <c r="E238" s="1">
        <v>0.0</v>
      </c>
      <c r="F238" s="1">
        <v>0.0</v>
      </c>
      <c r="G238" s="1">
        <v>0.0</v>
      </c>
      <c r="H238" s="1">
        <v>61.0</v>
      </c>
      <c r="I238" s="1">
        <v>4.0</v>
      </c>
      <c r="J238" s="1">
        <v>3.0</v>
      </c>
      <c r="K238" s="1">
        <v>8.0</v>
      </c>
      <c r="L238" s="1" t="b">
        <v>1</v>
      </c>
      <c r="M238" s="1" t="b">
        <v>0</v>
      </c>
      <c r="N238" s="1" t="b">
        <v>0</v>
      </c>
      <c r="O238" s="1" t="b">
        <v>0</v>
      </c>
      <c r="P238" s="1" t="b">
        <v>0</v>
      </c>
      <c r="Q238" s="1" t="b">
        <v>1</v>
      </c>
      <c r="R238" s="1" t="b">
        <v>0</v>
      </c>
      <c r="S238" s="1" t="s">
        <v>51</v>
      </c>
      <c r="T238" s="1" t="s">
        <v>65</v>
      </c>
      <c r="U238" s="1" t="s">
        <v>53</v>
      </c>
      <c r="V238" s="1">
        <v>5.0</v>
      </c>
      <c r="W238" s="1">
        <v>1.0</v>
      </c>
      <c r="X238" s="1">
        <v>3.0</v>
      </c>
      <c r="Y238" s="1">
        <v>1.0</v>
      </c>
      <c r="Z238" s="1" t="s">
        <v>54</v>
      </c>
      <c r="AA238" s="1" t="b">
        <v>0</v>
      </c>
      <c r="AB238" s="1">
        <v>350.0</v>
      </c>
      <c r="AC238" s="1" t="b">
        <v>0</v>
      </c>
      <c r="AD238" s="1">
        <v>0.0</v>
      </c>
      <c r="AE238" s="1">
        <v>0.0</v>
      </c>
      <c r="AF238" s="3">
        <v>45801.0</v>
      </c>
      <c r="AG238" s="1" t="s">
        <v>55</v>
      </c>
      <c r="AH238" s="1" t="s">
        <v>72</v>
      </c>
      <c r="AI238" s="1" t="s">
        <v>72</v>
      </c>
      <c r="AJ238" s="1" t="s">
        <v>58</v>
      </c>
      <c r="AK238" s="1">
        <v>81621.0</v>
      </c>
      <c r="AL238" s="1" t="s">
        <v>59</v>
      </c>
      <c r="AM238" s="1" t="s">
        <v>60</v>
      </c>
      <c r="AN238" s="4" t="s">
        <v>942</v>
      </c>
      <c r="AO238" s="4" t="s">
        <v>943</v>
      </c>
      <c r="AQ238" s="1">
        <v>4451723.0</v>
      </c>
      <c r="AR238" s="1">
        <v>39.37022</v>
      </c>
      <c r="AS238" s="1">
        <v>-107.06739</v>
      </c>
      <c r="AT238" s="5">
        <f t="shared" si="1"/>
        <v>41.81394958</v>
      </c>
      <c r="AU238" s="5">
        <f t="shared" si="2"/>
        <v>44185.20588</v>
      </c>
      <c r="AV238" s="5">
        <f t="shared" si="3"/>
        <v>1</v>
      </c>
      <c r="AW238" s="5">
        <f t="shared" si="4"/>
        <v>1</v>
      </c>
      <c r="AX238" s="5">
        <f t="shared" si="5"/>
        <v>44185.20588</v>
      </c>
    </row>
    <row r="239">
      <c r="A239" s="1" t="s">
        <v>944</v>
      </c>
      <c r="D239" s="1">
        <v>0.0</v>
      </c>
      <c r="E239" s="1">
        <v>26.0</v>
      </c>
      <c r="F239" s="1">
        <v>0.0</v>
      </c>
      <c r="G239" s="1">
        <v>0.0</v>
      </c>
      <c r="H239" s="1">
        <v>19.0</v>
      </c>
      <c r="I239" s="1">
        <v>4.0</v>
      </c>
      <c r="J239" s="1">
        <v>5.0</v>
      </c>
      <c r="K239" s="1">
        <v>10.0</v>
      </c>
      <c r="L239" s="1" t="b">
        <v>1</v>
      </c>
      <c r="M239" s="1" t="b">
        <v>0</v>
      </c>
      <c r="N239" s="1" t="b">
        <v>0</v>
      </c>
      <c r="O239" s="1" t="b">
        <v>1</v>
      </c>
      <c r="P239" s="1" t="b">
        <v>0</v>
      </c>
      <c r="Q239" s="1" t="b">
        <v>0</v>
      </c>
      <c r="R239" s="1" t="b">
        <v>0</v>
      </c>
      <c r="S239" s="1" t="s">
        <v>51</v>
      </c>
      <c r="T239" s="1" t="s">
        <v>65</v>
      </c>
      <c r="U239" s="1" t="s">
        <v>53</v>
      </c>
      <c r="V239" s="1">
        <v>0.0</v>
      </c>
      <c r="W239" s="1">
        <v>0.0</v>
      </c>
      <c r="X239" s="1">
        <v>30.0</v>
      </c>
      <c r="Y239" s="1">
        <v>1.0</v>
      </c>
      <c r="Z239" s="1" t="s">
        <v>54</v>
      </c>
      <c r="AA239" s="1" t="b">
        <v>0</v>
      </c>
      <c r="AB239" s="1">
        <v>500.0</v>
      </c>
      <c r="AC239" s="1" t="b">
        <v>0</v>
      </c>
      <c r="AD239" s="1">
        <v>0.0</v>
      </c>
      <c r="AE239" s="1">
        <v>0.0</v>
      </c>
      <c r="AF239" s="3">
        <v>46158.0</v>
      </c>
      <c r="AG239" s="1" t="s">
        <v>55</v>
      </c>
      <c r="AH239" s="1" t="s">
        <v>55</v>
      </c>
      <c r="AI239" s="1" t="s">
        <v>56</v>
      </c>
      <c r="AJ239" s="1" t="s">
        <v>58</v>
      </c>
      <c r="AK239" s="1">
        <v>81623.0</v>
      </c>
      <c r="AL239" s="1" t="s">
        <v>59</v>
      </c>
      <c r="AM239" s="1" t="s">
        <v>60</v>
      </c>
      <c r="AN239" s="4" t="s">
        <v>945</v>
      </c>
      <c r="AO239" s="4" t="s">
        <v>946</v>
      </c>
      <c r="AQ239" s="1">
        <v>5069368.0</v>
      </c>
      <c r="AR239" s="1">
        <v>39.438843</v>
      </c>
      <c r="AS239" s="1">
        <v>-107.26115</v>
      </c>
      <c r="AT239" s="5">
        <f t="shared" si="1"/>
        <v>41.81394958</v>
      </c>
      <c r="AU239" s="5">
        <f t="shared" si="2"/>
        <v>44185.20588</v>
      </c>
      <c r="AV239" s="5">
        <f t="shared" si="3"/>
        <v>1</v>
      </c>
      <c r="AW239" s="5">
        <f t="shared" si="4"/>
        <v>1</v>
      </c>
      <c r="AX239" s="5">
        <f t="shared" si="5"/>
        <v>44185.20588</v>
      </c>
    </row>
  </sheetData>
  <hyperlinks>
    <hyperlink r:id="rId1" ref="AN2"/>
    <hyperlink r:id="rId2" ref="AO2"/>
    <hyperlink r:id="rId3" ref="AN3"/>
    <hyperlink r:id="rId4" ref="AO3"/>
    <hyperlink r:id="rId5" ref="AN4"/>
    <hyperlink r:id="rId6" ref="AO4"/>
    <hyperlink r:id="rId7" ref="AN5"/>
    <hyperlink r:id="rId8" ref="AO5"/>
    <hyperlink r:id="rId9" ref="AN6"/>
    <hyperlink r:id="rId10" ref="AO6"/>
    <hyperlink r:id="rId11" ref="AN7"/>
    <hyperlink r:id="rId12" ref="AO7"/>
    <hyperlink r:id="rId13" ref="AN8"/>
    <hyperlink r:id="rId14" ref="AO8"/>
    <hyperlink r:id="rId15" ref="AN9"/>
    <hyperlink r:id="rId16" ref="AO9"/>
    <hyperlink r:id="rId17" ref="AN10"/>
    <hyperlink r:id="rId18" ref="AO10"/>
    <hyperlink r:id="rId19" ref="AN11"/>
    <hyperlink r:id="rId20" ref="AO11"/>
    <hyperlink r:id="rId21" ref="AN12"/>
    <hyperlink r:id="rId22" ref="AO12"/>
    <hyperlink r:id="rId23" ref="AN13"/>
    <hyperlink r:id="rId24" ref="AO13"/>
    <hyperlink r:id="rId25" ref="AN14"/>
    <hyperlink r:id="rId26" ref="AO14"/>
    <hyperlink r:id="rId27" ref="AN15"/>
    <hyperlink r:id="rId28" ref="AO15"/>
    <hyperlink r:id="rId29" ref="AN16"/>
    <hyperlink r:id="rId30" ref="AO16"/>
    <hyperlink r:id="rId31" ref="AN17"/>
    <hyperlink r:id="rId32" ref="AO17"/>
    <hyperlink r:id="rId33" ref="AN18"/>
    <hyperlink r:id="rId34" ref="AO18"/>
    <hyperlink r:id="rId35" ref="AN19"/>
    <hyperlink r:id="rId36" ref="AO19"/>
    <hyperlink r:id="rId37" ref="AN20"/>
    <hyperlink r:id="rId38" ref="AO20"/>
    <hyperlink r:id="rId39" ref="AN21"/>
    <hyperlink r:id="rId40" ref="AO21"/>
    <hyperlink r:id="rId41" ref="AN22"/>
    <hyperlink r:id="rId42" ref="AO22"/>
    <hyperlink r:id="rId43" ref="AN23"/>
    <hyperlink r:id="rId44" ref="AO23"/>
    <hyperlink r:id="rId45" ref="AN24"/>
    <hyperlink r:id="rId46" ref="AO24"/>
    <hyperlink r:id="rId47" ref="AN25"/>
    <hyperlink r:id="rId48" ref="AO25"/>
    <hyperlink r:id="rId49" ref="AN26"/>
    <hyperlink r:id="rId50" ref="AO26"/>
    <hyperlink r:id="rId51" ref="AN27"/>
    <hyperlink r:id="rId52" ref="AO27"/>
    <hyperlink r:id="rId53" ref="AN28"/>
    <hyperlink r:id="rId54" ref="AO28"/>
    <hyperlink r:id="rId55" ref="AN29"/>
    <hyperlink r:id="rId56" ref="AO29"/>
    <hyperlink r:id="rId57" ref="AN30"/>
    <hyperlink r:id="rId58" ref="AO30"/>
    <hyperlink r:id="rId59" ref="AN31"/>
    <hyperlink r:id="rId60" ref="AO31"/>
    <hyperlink r:id="rId61" ref="AN32"/>
    <hyperlink r:id="rId62" ref="AO32"/>
    <hyperlink r:id="rId63" ref="AN33"/>
    <hyperlink r:id="rId64" ref="AO33"/>
    <hyperlink r:id="rId65" ref="AN34"/>
    <hyperlink r:id="rId66" ref="AO34"/>
    <hyperlink r:id="rId67" ref="AN35"/>
    <hyperlink r:id="rId68" ref="AO35"/>
    <hyperlink r:id="rId69" ref="AN36"/>
    <hyperlink r:id="rId70" ref="AO36"/>
    <hyperlink r:id="rId71" ref="AN37"/>
    <hyperlink r:id="rId72" ref="AO37"/>
    <hyperlink r:id="rId73" ref="AN38"/>
    <hyperlink r:id="rId74" ref="AO38"/>
    <hyperlink r:id="rId75" ref="AN39"/>
    <hyperlink r:id="rId76" ref="AO39"/>
    <hyperlink r:id="rId77" ref="AN40"/>
    <hyperlink r:id="rId78" ref="AO40"/>
    <hyperlink r:id="rId79" ref="AN41"/>
    <hyperlink r:id="rId80" ref="AO41"/>
    <hyperlink r:id="rId81" ref="AN42"/>
    <hyperlink r:id="rId82" ref="AO42"/>
    <hyperlink r:id="rId83" ref="AN43"/>
    <hyperlink r:id="rId84" ref="AO43"/>
    <hyperlink r:id="rId85" ref="AN44"/>
    <hyperlink r:id="rId86" ref="AO44"/>
    <hyperlink r:id="rId87" ref="AN45"/>
    <hyperlink r:id="rId88" ref="AO45"/>
    <hyperlink r:id="rId89" ref="AN46"/>
    <hyperlink r:id="rId90" ref="AO46"/>
    <hyperlink r:id="rId91" ref="AN47"/>
    <hyperlink r:id="rId92" ref="AO47"/>
    <hyperlink r:id="rId93" ref="AN48"/>
    <hyperlink r:id="rId94" ref="AO48"/>
    <hyperlink r:id="rId95" ref="AN49"/>
    <hyperlink r:id="rId96" ref="AO49"/>
    <hyperlink r:id="rId97" ref="AN50"/>
    <hyperlink r:id="rId98" ref="AO50"/>
    <hyperlink r:id="rId99" ref="AN51"/>
    <hyperlink r:id="rId100" ref="AO51"/>
    <hyperlink r:id="rId101" ref="AN52"/>
    <hyperlink r:id="rId102" ref="AO52"/>
    <hyperlink r:id="rId103" ref="AN53"/>
    <hyperlink r:id="rId104" ref="AO53"/>
    <hyperlink r:id="rId105" ref="AN54"/>
    <hyperlink r:id="rId106" ref="AO54"/>
    <hyperlink r:id="rId107" ref="AN55"/>
    <hyperlink r:id="rId108" ref="AO55"/>
    <hyperlink r:id="rId109" ref="AN56"/>
    <hyperlink r:id="rId110" ref="AO56"/>
    <hyperlink r:id="rId111" ref="AN57"/>
    <hyperlink r:id="rId112" ref="AO57"/>
    <hyperlink r:id="rId113" ref="AN58"/>
    <hyperlink r:id="rId114" ref="AO58"/>
    <hyperlink r:id="rId115" ref="AN59"/>
    <hyperlink r:id="rId116" ref="AO59"/>
    <hyperlink r:id="rId117" ref="AN60"/>
    <hyperlink r:id="rId118" ref="AO60"/>
    <hyperlink r:id="rId119" ref="AN61"/>
    <hyperlink r:id="rId120" ref="AO61"/>
    <hyperlink r:id="rId121" ref="AN62"/>
    <hyperlink r:id="rId122" ref="AO62"/>
    <hyperlink r:id="rId123" ref="AN63"/>
    <hyperlink r:id="rId124" ref="AO63"/>
    <hyperlink r:id="rId125" ref="AN64"/>
    <hyperlink r:id="rId126" ref="AO64"/>
    <hyperlink r:id="rId127" ref="AN65"/>
    <hyperlink r:id="rId128" ref="AO65"/>
    <hyperlink r:id="rId129" ref="AN66"/>
    <hyperlink r:id="rId130" ref="AO66"/>
    <hyperlink r:id="rId131" ref="AN67"/>
    <hyperlink r:id="rId132" ref="AO67"/>
    <hyperlink r:id="rId133" ref="AN68"/>
    <hyperlink r:id="rId134" ref="AO68"/>
    <hyperlink r:id="rId135" ref="AN69"/>
    <hyperlink r:id="rId136" ref="AO69"/>
    <hyperlink r:id="rId137" ref="AN70"/>
    <hyperlink r:id="rId138" ref="AO70"/>
    <hyperlink r:id="rId139" ref="AN71"/>
    <hyperlink r:id="rId140" ref="AO71"/>
    <hyperlink r:id="rId141" ref="AN72"/>
    <hyperlink r:id="rId142" ref="AO72"/>
    <hyperlink r:id="rId143" ref="AN73"/>
    <hyperlink r:id="rId144" ref="AO73"/>
    <hyperlink r:id="rId145" ref="AN74"/>
    <hyperlink r:id="rId146" ref="AO74"/>
    <hyperlink r:id="rId147" ref="AN75"/>
    <hyperlink r:id="rId148" ref="AO75"/>
    <hyperlink r:id="rId149" ref="AN76"/>
    <hyperlink r:id="rId150" ref="AO76"/>
    <hyperlink r:id="rId151" ref="AN77"/>
    <hyperlink r:id="rId152" ref="AO77"/>
    <hyperlink r:id="rId153" ref="AN78"/>
    <hyperlink r:id="rId154" ref="AO78"/>
    <hyperlink r:id="rId155" ref="AN79"/>
    <hyperlink r:id="rId156" ref="AO79"/>
    <hyperlink r:id="rId157" ref="AN80"/>
    <hyperlink r:id="rId158" ref="AO80"/>
    <hyperlink r:id="rId159" ref="AN81"/>
    <hyperlink r:id="rId160" ref="AO81"/>
    <hyperlink r:id="rId161" ref="AN82"/>
    <hyperlink r:id="rId162" ref="AO82"/>
    <hyperlink r:id="rId163" ref="AN83"/>
    <hyperlink r:id="rId164" ref="AO83"/>
    <hyperlink r:id="rId165" ref="AN84"/>
    <hyperlink r:id="rId166" ref="AO84"/>
    <hyperlink r:id="rId167" ref="AN85"/>
    <hyperlink r:id="rId168" ref="AO85"/>
    <hyperlink r:id="rId169" ref="AN86"/>
    <hyperlink r:id="rId170" ref="AO86"/>
    <hyperlink r:id="rId171" ref="AN87"/>
    <hyperlink r:id="rId172" ref="AO87"/>
    <hyperlink r:id="rId173" ref="AN88"/>
    <hyperlink r:id="rId174" ref="AO88"/>
    <hyperlink r:id="rId175" ref="AN89"/>
    <hyperlink r:id="rId176" ref="AO89"/>
    <hyperlink r:id="rId177" ref="AN90"/>
    <hyperlink r:id="rId178" ref="AO90"/>
    <hyperlink r:id="rId179" ref="AN91"/>
    <hyperlink r:id="rId180" ref="AO91"/>
    <hyperlink r:id="rId181" ref="AN92"/>
    <hyperlink r:id="rId182" ref="AO92"/>
    <hyperlink r:id="rId183" ref="AN93"/>
    <hyperlink r:id="rId184" ref="AO93"/>
    <hyperlink r:id="rId185" ref="AN94"/>
    <hyperlink r:id="rId186" ref="AO94"/>
    <hyperlink r:id="rId187" ref="AN95"/>
    <hyperlink r:id="rId188" ref="AO95"/>
    <hyperlink r:id="rId189" ref="AN96"/>
    <hyperlink r:id="rId190" ref="AO96"/>
    <hyperlink r:id="rId191" ref="AN97"/>
    <hyperlink r:id="rId192" ref="AO97"/>
    <hyperlink r:id="rId193" ref="AN98"/>
    <hyperlink r:id="rId194" ref="AO98"/>
    <hyperlink r:id="rId195" ref="AN99"/>
    <hyperlink r:id="rId196" ref="AO99"/>
    <hyperlink r:id="rId197" ref="AN100"/>
    <hyperlink r:id="rId198" ref="AO100"/>
    <hyperlink r:id="rId199" ref="AN101"/>
    <hyperlink r:id="rId200" ref="AO101"/>
    <hyperlink r:id="rId201" ref="AN102"/>
    <hyperlink r:id="rId202" ref="AO102"/>
    <hyperlink r:id="rId203" ref="AN103"/>
    <hyperlink r:id="rId204" ref="AO103"/>
    <hyperlink r:id="rId205" ref="AN104"/>
    <hyperlink r:id="rId206" ref="AO104"/>
    <hyperlink r:id="rId207" ref="AN105"/>
    <hyperlink r:id="rId208" ref="AO105"/>
    <hyperlink r:id="rId209" ref="AN106"/>
    <hyperlink r:id="rId210" ref="AO106"/>
    <hyperlink r:id="rId211" ref="AN107"/>
    <hyperlink r:id="rId212" ref="AO107"/>
    <hyperlink r:id="rId213" ref="AN108"/>
    <hyperlink r:id="rId214" ref="AO108"/>
    <hyperlink r:id="rId215" ref="AN109"/>
    <hyperlink r:id="rId216" ref="AO109"/>
    <hyperlink r:id="rId217" ref="AN110"/>
    <hyperlink r:id="rId218" ref="AO110"/>
    <hyperlink r:id="rId219" ref="AN111"/>
    <hyperlink r:id="rId220" ref="AO111"/>
    <hyperlink r:id="rId221" ref="AN112"/>
    <hyperlink r:id="rId222" ref="AO112"/>
    <hyperlink r:id="rId223" ref="AN113"/>
    <hyperlink r:id="rId224" ref="AO113"/>
    <hyperlink r:id="rId225" ref="AN114"/>
    <hyperlink r:id="rId226" ref="AO114"/>
    <hyperlink r:id="rId227" ref="AN115"/>
    <hyperlink r:id="rId228" ref="AO115"/>
    <hyperlink r:id="rId229" ref="AN116"/>
    <hyperlink r:id="rId230" ref="AO116"/>
    <hyperlink r:id="rId231" ref="AN117"/>
    <hyperlink r:id="rId232" ref="AO117"/>
    <hyperlink r:id="rId233" ref="AN118"/>
    <hyperlink r:id="rId234" ref="AO118"/>
    <hyperlink r:id="rId235" ref="AN119"/>
    <hyperlink r:id="rId236" ref="AO119"/>
    <hyperlink r:id="rId237" ref="AN120"/>
    <hyperlink r:id="rId238" ref="AO120"/>
    <hyperlink r:id="rId239" ref="AN121"/>
    <hyperlink r:id="rId240" ref="AO121"/>
    <hyperlink r:id="rId241" ref="AN122"/>
    <hyperlink r:id="rId242" ref="AO122"/>
    <hyperlink r:id="rId243" ref="AN123"/>
    <hyperlink r:id="rId244" ref="AO123"/>
    <hyperlink r:id="rId245" ref="AN124"/>
    <hyperlink r:id="rId246" ref="AO124"/>
    <hyperlink r:id="rId247" ref="AN125"/>
    <hyperlink r:id="rId248" ref="AO125"/>
    <hyperlink r:id="rId249" ref="AN126"/>
    <hyperlink r:id="rId250" ref="AO126"/>
    <hyperlink r:id="rId251" ref="AN127"/>
    <hyperlink r:id="rId252" ref="AO127"/>
    <hyperlink r:id="rId253" ref="AN128"/>
    <hyperlink r:id="rId254" ref="AO128"/>
    <hyperlink r:id="rId255" ref="AN129"/>
    <hyperlink r:id="rId256" ref="AO129"/>
    <hyperlink r:id="rId257" ref="AN130"/>
    <hyperlink r:id="rId258" ref="AO130"/>
    <hyperlink r:id="rId259" ref="AN131"/>
    <hyperlink r:id="rId260" ref="AO131"/>
    <hyperlink r:id="rId261" ref="AN132"/>
    <hyperlink r:id="rId262" ref="AO132"/>
    <hyperlink r:id="rId263" ref="AN133"/>
    <hyperlink r:id="rId264" ref="AO133"/>
    <hyperlink r:id="rId265" ref="AN134"/>
    <hyperlink r:id="rId266" ref="AO134"/>
    <hyperlink r:id="rId267" ref="AN135"/>
    <hyperlink r:id="rId268" ref="AO135"/>
    <hyperlink r:id="rId269" ref="AN136"/>
    <hyperlink r:id="rId270" ref="AO136"/>
    <hyperlink r:id="rId271" ref="AN137"/>
    <hyperlink r:id="rId272" ref="AO137"/>
    <hyperlink r:id="rId273" ref="AN138"/>
    <hyperlink r:id="rId274" ref="AO138"/>
    <hyperlink r:id="rId275" ref="AN139"/>
    <hyperlink r:id="rId276" ref="AO139"/>
    <hyperlink r:id="rId277" ref="AN140"/>
    <hyperlink r:id="rId278" ref="AO140"/>
    <hyperlink r:id="rId279" ref="AN141"/>
    <hyperlink r:id="rId280" ref="AO141"/>
    <hyperlink r:id="rId281" ref="AN142"/>
    <hyperlink r:id="rId282" ref="AO142"/>
    <hyperlink r:id="rId283" ref="AN143"/>
    <hyperlink r:id="rId284" ref="AO143"/>
    <hyperlink r:id="rId285" ref="AN144"/>
    <hyperlink r:id="rId286" ref="AO144"/>
    <hyperlink r:id="rId287" ref="AN145"/>
    <hyperlink r:id="rId288" ref="AO145"/>
    <hyperlink r:id="rId289" ref="AN146"/>
    <hyperlink r:id="rId290" ref="AO146"/>
    <hyperlink r:id="rId291" ref="AN147"/>
    <hyperlink r:id="rId292" ref="AO147"/>
    <hyperlink r:id="rId293" ref="AN148"/>
    <hyperlink r:id="rId294" ref="AO148"/>
    <hyperlink r:id="rId295" ref="AN149"/>
    <hyperlink r:id="rId296" ref="AO149"/>
    <hyperlink r:id="rId297" ref="AN150"/>
    <hyperlink r:id="rId298" ref="AO150"/>
    <hyperlink r:id="rId299" ref="AN151"/>
    <hyperlink r:id="rId300" ref="AO151"/>
    <hyperlink r:id="rId301" ref="AN152"/>
    <hyperlink r:id="rId302" ref="AO152"/>
    <hyperlink r:id="rId303" ref="AN153"/>
    <hyperlink r:id="rId304" ref="AO153"/>
    <hyperlink r:id="rId305" ref="AN154"/>
    <hyperlink r:id="rId306" ref="AO154"/>
    <hyperlink r:id="rId307" ref="AN155"/>
    <hyperlink r:id="rId308" ref="AO155"/>
    <hyperlink r:id="rId309" ref="AN156"/>
    <hyperlink r:id="rId310" ref="AO156"/>
    <hyperlink r:id="rId311" ref="AN157"/>
    <hyperlink r:id="rId312" ref="AO157"/>
    <hyperlink r:id="rId313" ref="AN158"/>
    <hyperlink r:id="rId314" ref="AO158"/>
    <hyperlink r:id="rId315" ref="AN159"/>
    <hyperlink r:id="rId316" ref="AO159"/>
    <hyperlink r:id="rId317" ref="AN160"/>
    <hyperlink r:id="rId318" ref="AO160"/>
    <hyperlink r:id="rId319" ref="AN161"/>
    <hyperlink r:id="rId320" ref="AO161"/>
    <hyperlink r:id="rId321" ref="AN162"/>
    <hyperlink r:id="rId322" ref="AO162"/>
    <hyperlink r:id="rId323" ref="AN163"/>
    <hyperlink r:id="rId324" ref="AO163"/>
    <hyperlink r:id="rId325" ref="AN164"/>
    <hyperlink r:id="rId326" ref="AO164"/>
    <hyperlink r:id="rId327" ref="AN165"/>
    <hyperlink r:id="rId328" ref="AO165"/>
    <hyperlink r:id="rId329" ref="AN166"/>
    <hyperlink r:id="rId330" ref="AO166"/>
    <hyperlink r:id="rId331" ref="AN167"/>
    <hyperlink r:id="rId332" ref="AO167"/>
    <hyperlink r:id="rId333" ref="AN168"/>
    <hyperlink r:id="rId334" ref="AO168"/>
    <hyperlink r:id="rId335" ref="AN169"/>
    <hyperlink r:id="rId336" ref="AO169"/>
    <hyperlink r:id="rId337" ref="AN170"/>
    <hyperlink r:id="rId338" ref="AO170"/>
    <hyperlink r:id="rId339" ref="AN171"/>
    <hyperlink r:id="rId340" ref="AO171"/>
    <hyperlink r:id="rId341" ref="AN172"/>
    <hyperlink r:id="rId342" ref="AO172"/>
    <hyperlink r:id="rId343" ref="AN173"/>
    <hyperlink r:id="rId344" ref="AO173"/>
    <hyperlink r:id="rId345" ref="AN174"/>
    <hyperlink r:id="rId346" ref="AO174"/>
    <hyperlink r:id="rId347" ref="AN175"/>
    <hyperlink r:id="rId348" ref="AO175"/>
    <hyperlink r:id="rId349" ref="AN176"/>
    <hyperlink r:id="rId350" ref="AO176"/>
    <hyperlink r:id="rId351" ref="AN177"/>
    <hyperlink r:id="rId352" ref="AO177"/>
    <hyperlink r:id="rId353" ref="AN178"/>
    <hyperlink r:id="rId354" ref="AO178"/>
    <hyperlink r:id="rId355" ref="AN179"/>
    <hyperlink r:id="rId356" ref="AO179"/>
    <hyperlink r:id="rId357" ref="AN180"/>
    <hyperlink r:id="rId358" ref="AO180"/>
    <hyperlink r:id="rId359" ref="AN181"/>
    <hyperlink r:id="rId360" ref="AO181"/>
    <hyperlink r:id="rId361" ref="AN182"/>
    <hyperlink r:id="rId362" ref="AO182"/>
    <hyperlink r:id="rId363" ref="AN183"/>
    <hyperlink r:id="rId364" ref="AO183"/>
    <hyperlink r:id="rId365" ref="AN184"/>
    <hyperlink r:id="rId366" ref="AO184"/>
    <hyperlink r:id="rId367" ref="AN185"/>
    <hyperlink r:id="rId368" ref="AO185"/>
    <hyperlink r:id="rId369" ref="AN186"/>
    <hyperlink r:id="rId370" ref="AO186"/>
    <hyperlink r:id="rId371" ref="AN187"/>
    <hyperlink r:id="rId372" ref="AO187"/>
    <hyperlink r:id="rId373" ref="AN188"/>
    <hyperlink r:id="rId374" ref="AO188"/>
    <hyperlink r:id="rId375" ref="AN189"/>
    <hyperlink r:id="rId376" ref="AO189"/>
    <hyperlink r:id="rId377" ref="AN190"/>
    <hyperlink r:id="rId378" ref="AO190"/>
    <hyperlink r:id="rId379" ref="AN191"/>
    <hyperlink r:id="rId380" ref="AO191"/>
    <hyperlink r:id="rId381" ref="AN192"/>
    <hyperlink r:id="rId382" ref="AO192"/>
    <hyperlink r:id="rId383" ref="AN193"/>
    <hyperlink r:id="rId384" ref="AO193"/>
    <hyperlink r:id="rId385" ref="AN194"/>
    <hyperlink r:id="rId386" ref="AO194"/>
    <hyperlink r:id="rId387" ref="AN195"/>
    <hyperlink r:id="rId388" ref="AO195"/>
    <hyperlink r:id="rId389" ref="AN196"/>
    <hyperlink r:id="rId390" ref="AO196"/>
    <hyperlink r:id="rId391" ref="AN197"/>
    <hyperlink r:id="rId392" ref="AO197"/>
    <hyperlink r:id="rId393" ref="AN198"/>
    <hyperlink r:id="rId394" ref="AO198"/>
    <hyperlink r:id="rId395" ref="AN199"/>
    <hyperlink r:id="rId396" ref="AO199"/>
    <hyperlink r:id="rId397" ref="AN200"/>
    <hyperlink r:id="rId398" ref="AO200"/>
    <hyperlink r:id="rId399" ref="AN201"/>
    <hyperlink r:id="rId400" ref="AO201"/>
    <hyperlink r:id="rId401" ref="AN202"/>
    <hyperlink r:id="rId402" ref="AO202"/>
    <hyperlink r:id="rId403" ref="AN203"/>
    <hyperlink r:id="rId404" ref="AO203"/>
    <hyperlink r:id="rId405" ref="AN204"/>
    <hyperlink r:id="rId406" ref="AO204"/>
    <hyperlink r:id="rId407" ref="AN205"/>
    <hyperlink r:id="rId408" ref="AO205"/>
    <hyperlink r:id="rId409" ref="AN206"/>
    <hyperlink r:id="rId410" ref="AN207"/>
    <hyperlink r:id="rId411" ref="AO207"/>
    <hyperlink r:id="rId412" ref="AN208"/>
    <hyperlink r:id="rId413" ref="AO208"/>
    <hyperlink r:id="rId414" ref="AN209"/>
    <hyperlink r:id="rId415" ref="AO209"/>
    <hyperlink r:id="rId416" ref="AN210"/>
    <hyperlink r:id="rId417" ref="AO210"/>
    <hyperlink r:id="rId418" ref="AN211"/>
    <hyperlink r:id="rId419" ref="AO211"/>
    <hyperlink r:id="rId420" ref="AN212"/>
    <hyperlink r:id="rId421" ref="AO212"/>
    <hyperlink r:id="rId422" ref="AN213"/>
    <hyperlink r:id="rId423" ref="AO213"/>
    <hyperlink r:id="rId424" ref="AN214"/>
    <hyperlink r:id="rId425" ref="AO214"/>
    <hyperlink r:id="rId426" ref="AN215"/>
    <hyperlink r:id="rId427" ref="AO215"/>
    <hyperlink r:id="rId428" ref="AN216"/>
    <hyperlink r:id="rId429" ref="AO216"/>
    <hyperlink r:id="rId430" ref="AN217"/>
    <hyperlink r:id="rId431" ref="AO217"/>
    <hyperlink r:id="rId432" ref="AN218"/>
    <hyperlink r:id="rId433" ref="AO218"/>
    <hyperlink r:id="rId434" ref="AN219"/>
    <hyperlink r:id="rId435" ref="AO219"/>
    <hyperlink r:id="rId436" ref="AN220"/>
    <hyperlink r:id="rId437" ref="AO220"/>
    <hyperlink r:id="rId438" ref="AN221"/>
    <hyperlink r:id="rId439" ref="AO221"/>
    <hyperlink r:id="rId440" ref="AN222"/>
    <hyperlink r:id="rId441" ref="AO222"/>
    <hyperlink r:id="rId442" ref="AN223"/>
    <hyperlink r:id="rId443" ref="AO223"/>
    <hyperlink r:id="rId444" ref="AN224"/>
    <hyperlink r:id="rId445" ref="AO224"/>
    <hyperlink r:id="rId446" ref="AN225"/>
    <hyperlink r:id="rId447" ref="AO225"/>
    <hyperlink r:id="rId448" ref="AN226"/>
    <hyperlink r:id="rId449" ref="AO226"/>
    <hyperlink r:id="rId450" ref="AN227"/>
    <hyperlink r:id="rId451" ref="AO227"/>
    <hyperlink r:id="rId452" ref="AN228"/>
    <hyperlink r:id="rId453" ref="AO228"/>
    <hyperlink r:id="rId454" ref="AN229"/>
    <hyperlink r:id="rId455" ref="AO229"/>
    <hyperlink r:id="rId456" ref="AN230"/>
    <hyperlink r:id="rId457" ref="AO230"/>
    <hyperlink r:id="rId458" ref="AN231"/>
    <hyperlink r:id="rId459" ref="AO231"/>
    <hyperlink r:id="rId460" ref="AN232"/>
    <hyperlink r:id="rId461" ref="AO232"/>
    <hyperlink r:id="rId462" ref="AN233"/>
    <hyperlink r:id="rId463" ref="AO233"/>
    <hyperlink r:id="rId464" ref="AN234"/>
    <hyperlink r:id="rId465" ref="AO234"/>
    <hyperlink r:id="rId466" ref="AN235"/>
    <hyperlink r:id="rId467" ref="AO235"/>
    <hyperlink r:id="rId468" ref="AN236"/>
    <hyperlink r:id="rId469" ref="AO236"/>
    <hyperlink r:id="rId470" ref="AN237"/>
    <hyperlink r:id="rId471" ref="AO237"/>
    <hyperlink r:id="rId472" ref="AN238"/>
    <hyperlink r:id="rId473" ref="AO238"/>
    <hyperlink r:id="rId474" ref="AN239"/>
    <hyperlink r:id="rId475" ref="AO239"/>
  </hyperlinks>
  <drawing r:id="rId476"/>
</worksheet>
</file>