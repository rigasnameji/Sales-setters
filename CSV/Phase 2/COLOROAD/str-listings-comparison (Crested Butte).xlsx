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-listings-comparison (Creste" sheetId="1" r:id="rId5"/>
  </sheets>
  <definedNames>
    <definedName hidden="1" localSheetId="0" name="_xlnm._FilterDatabase">'str-listings-comparison (Creste'!$A$1:$AZ$19</definedName>
  </definedNames>
  <calcPr/>
</workbook>
</file>

<file path=xl/sharedStrings.xml><?xml version="1.0" encoding="utf-8"?>
<sst xmlns="http://schemas.openxmlformats.org/spreadsheetml/2006/main" count="270" uniqueCount="117">
  <si>
    <t>Title</t>
  </si>
  <si>
    <t>Property Manager/Host</t>
  </si>
  <si>
    <t>Contact</t>
  </si>
  <si>
    <t>Revenue</t>
  </si>
  <si>
    <t>Revenue Potential</t>
  </si>
  <si>
    <t>ADR</t>
  </si>
  <si>
    <t>Occupancy</t>
  </si>
  <si>
    <t>Days Available</t>
  </si>
  <si>
    <t>Bedrooms</t>
  </si>
  <si>
    <t>Bathrooms</t>
  </si>
  <si>
    <t>Accommodates</t>
  </si>
  <si>
    <t>Has Air Conditioning</t>
  </si>
  <si>
    <t>Has Gym</t>
  </si>
  <si>
    <t>Has Hot Tub</t>
  </si>
  <si>
    <t>Has Kitchen</t>
  </si>
  <si>
    <t>Has Parking</t>
  </si>
  <si>
    <t>Has Pets</t>
  </si>
  <si>
    <t>Has Pool</t>
  </si>
  <si>
    <t>Listing Type</t>
  </si>
  <si>
    <t>Property Type</t>
  </si>
  <si>
    <t>Real Estate Type</t>
  </si>
  <si>
    <t>Overall Rating</t>
  </si>
  <si>
    <t>Number of Reviews</t>
  </si>
  <si>
    <t>Minimum Stay</t>
  </si>
  <si>
    <t>Host Unit Count</t>
  </si>
  <si>
    <t>Price Tier</t>
  </si>
  <si>
    <t>Airbnb Superhost</t>
  </si>
  <si>
    <t>Cleaning Fee</t>
  </si>
  <si>
    <t>Instant Book</t>
  </si>
  <si>
    <t>Reserved Days</t>
  </si>
  <si>
    <t>Number of Bookings</t>
  </si>
  <si>
    <t>Last Update</t>
  </si>
  <si>
    <t>AirDNA Market</t>
  </si>
  <si>
    <t>AirDNA Subarket</t>
  </si>
  <si>
    <t>City</t>
  </si>
  <si>
    <t>State</t>
  </si>
  <si>
    <t>Zipcode</t>
  </si>
  <si>
    <t>Country</t>
  </si>
  <si>
    <t>Location Type</t>
  </si>
  <si>
    <t>Listing URL</t>
  </si>
  <si>
    <t>Main Listing Image</t>
  </si>
  <si>
    <t>Airbnb Property ID</t>
  </si>
  <si>
    <t>Vrbo Property ID</t>
  </si>
  <si>
    <t>Latitude</t>
  </si>
  <si>
    <t>Longitude</t>
  </si>
  <si>
    <t>Market Average Occupancy</t>
  </si>
  <si>
    <t>Market Average Revenue</t>
  </si>
  <si>
    <t>Occupancy Gap</t>
  </si>
  <si>
    <t>Revenue % Gap</t>
  </si>
  <si>
    <t>Revenue $ Gap</t>
  </si>
  <si>
    <t>Revenue Potential Gap</t>
  </si>
  <si>
    <t>The Summit Residence</t>
  </si>
  <si>
    <t>Home/Apartment</t>
  </si>
  <si>
    <t>House</t>
  </si>
  <si>
    <t>House/villa</t>
  </si>
  <si>
    <t>Luxury</t>
  </si>
  <si>
    <t>Crested Butte</t>
  </si>
  <si>
    <t>Colorado</t>
  </si>
  <si>
    <t>United States</t>
  </si>
  <si>
    <t>mountains_lakes</t>
  </si>
  <si>
    <t>https://www.airbnb.com/rooms/1380547519483876388</t>
  </si>
  <si>
    <t>https://a0.muscache.com/im/pictures/miso/Hosting-1380547519483876388/original/d0e7a8c7-75ad-43f2-a6bd-bef265e2b9ed.jpeg</t>
  </si>
  <si>
    <t>1380547519483876388</t>
  </si>
  <si>
    <t>Amazing Mountain Home w/ 360 degree mountain views</t>
  </si>
  <si>
    <t>https://www.airbnb.com/rooms/47175920</t>
  </si>
  <si>
    <t>https://a0.muscache.com/im/pictures/5f5a7afd-50e1-4675-aec6-f53b4ac2eb44.jpg?aki_policy=x_large</t>
  </si>
  <si>
    <t>The Outside Inn - amazing views in the heart of CB</t>
  </si>
  <si>
    <t>https://www.airbnb.com/rooms/47125870</t>
  </si>
  <si>
    <t>https://a0.muscache.com/im/pictures/miso/Hosting-47125870/original/0958d2f8-f3cb-41a4-83df-93b42e4078d0.jpeg</t>
  </si>
  <si>
    <t>Black Diamond Retreat</t>
  </si>
  <si>
    <t>Rent Crested Butte</t>
  </si>
  <si>
    <t>https://www.airbnb.com/rooms/30936367</t>
  </si>
  <si>
    <t>https://a0.muscache.com/im/pictures/prohost-api/Hosting-30936367/original/f8af8a7e-98c5-4162-a781-7f8fe89dc65d.jpeg</t>
  </si>
  <si>
    <t>The Mariposa-Valerian Bundle at Academy Place</t>
  </si>
  <si>
    <t>Crested Butte Property Management</t>
  </si>
  <si>
    <t>https://www.vrbo.com/3498966</t>
  </si>
  <si>
    <t>https://media.vrbo.com/lodging/96000000/95960000/95952000/95951979/c784164a.jpg?impolicy=resizecrop&amp;rw=1200&amp;ra=fit</t>
  </si>
  <si>
    <t>Sleeps 23, 8 BR w/ full bath, majestic views on 35 acres, walk to town</t>
  </si>
  <si>
    <t>https://www.vrbo.com/1645114</t>
  </si>
  <si>
    <t>https://media.vrbo.com/lodging/37000000/36890000/36885700/36885660/0c401905.jpg?impolicy=resizecrop&amp;rw=1200&amp;ra=fit</t>
  </si>
  <si>
    <t>The Alley Bundle at Academy Place Private Hot Tub</t>
  </si>
  <si>
    <t>https://www.airbnb.com/rooms/1140612082929118825</t>
  </si>
  <si>
    <t>https://a0.muscache.com/im/pictures/prohost-api/Hosting-1140612082929118825/original/a2e56a34-03fb-48b3-be33-940a8030a705.jpeg</t>
  </si>
  <si>
    <t>1140612082929118825</t>
  </si>
  <si>
    <t>Casey's Mt. CB Slopeside Retreat *entire home*</t>
  </si>
  <si>
    <t>Condominium (condo)</t>
  </si>
  <si>
    <t>Apt/Condo/Loft</t>
  </si>
  <si>
    <t>https://www.airbnb.com/rooms/31743374</t>
  </si>
  <si>
    <t>https://a0.muscache.com/im/pictures/7dc200ce-16b9-4e0d-b4af-731b546bf66e.jpg</t>
  </si>
  <si>
    <t>70 Acre Luxe Retreat | Epic Views | 10 Min to CB</t>
  </si>
  <si>
    <t>https://www.airbnb.com/rooms/28133039</t>
  </si>
  <si>
    <t>https://a0.muscache.com/im/pictures/hosting/Hosting-28133039/original/ea0bf8dd-911e-40cf-b14f-5eabab8f5188.jpeg</t>
  </si>
  <si>
    <t>Mariposa-Valerian-Paintbrush Bundle at Academy Place with Private Hot Tub</t>
  </si>
  <si>
    <t>https://www.vrbo.com/3612705</t>
  </si>
  <si>
    <t>https://media.vrbo.com/lodging/99000000/98510000/98507500/98507500/044bb186.jpg?impolicy=resizecrop&amp;rw=1200&amp;ra=fit</t>
  </si>
  <si>
    <t>Paradise on Prospect-Trampoline, Ski in/out, Views</t>
  </si>
  <si>
    <t>https://www.airbnb.com/rooms/1195673551228194466</t>
  </si>
  <si>
    <t>https://a0.muscache.com/im/pictures/hosting/Hosting-U3RheVN1cHBseUxpc3Rpbmc6MTE5NTY3MzU1MTIyODE5NDQ2Ng==/original/837339ff-233d-4735-b724-dc4cf36e94fa.jpeg</t>
  </si>
  <si>
    <t>1195673551228194466</t>
  </si>
  <si>
    <t>5 Bedroom Ski in Ski Out-at base of Gold Link Lift</t>
  </si>
  <si>
    <t>https://www.airbnb.com/rooms/13345306</t>
  </si>
  <si>
    <t>https://a0.muscache.com/im/pictures/442ba2e6-4274-45ca-83af-40b34ca94214.jpg</t>
  </si>
  <si>
    <t>Big Mine - Sleeps 23, 8BR w/ full bath,  Views!</t>
  </si>
  <si>
    <t>https://www.airbnb.com/rooms/53901371</t>
  </si>
  <si>
    <t>https://a0.muscache.com/im/pictures/miso/Hosting-53901371/original/60361c0c-323f-4b62-aeb2-e44eb96e11f5.jpeg</t>
  </si>
  <si>
    <t>SKI-IN-SKI-OUT Chalet Mt. Crested Butte</t>
  </si>
  <si>
    <t>Chalet</t>
  </si>
  <si>
    <t>https://www.airbnb.com/rooms/31448523</t>
  </si>
  <si>
    <t>https://a0.muscache.com/im/pictures/6d9b0026-3fab-4e95-91e6-b5da0dd1ed70.jpg</t>
  </si>
  <si>
    <t>In Town But Above It All</t>
  </si>
  <si>
    <t>https://www.airbnb.com/rooms/42246868</t>
  </si>
  <si>
    <t>https://a0.muscache.com/im/pictures/d9c9d907-5626-41cf-9c0d-bb5ee9e2ad26.jpg</t>
  </si>
  <si>
    <t>9231772ha</t>
  </si>
  <si>
    <t>6-Cottage Bundle at Academy Place</t>
  </si>
  <si>
    <t>https://www.airbnb.com/rooms/1140611294002162255</t>
  </si>
  <si>
    <t>https://a0.muscache.com/im/pictures/prohost-api/Hosting-1140611294002162255/original/0603eaa1-bcab-49b6-b60c-d5b291477b9d.jpeg</t>
  </si>
  <si>
    <t>1140611294002162255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</si>
</sst>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-d"/>
    <numFmt numFmtId="165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media.vrbo.com/lodging/99000000/98510000/98507500/98507500/044bb186.jpg?impolicy=resizecrop&amp;rw=1200&amp;ra=fit" TargetMode="External"/><Relationship Id="rId22" Type="http://schemas.openxmlformats.org/officeDocument/2006/relationships/hyperlink" Target="https://a0.muscache.com/im/pictures/hosting/Hosting-U3RheVN1cHBseUxpc3Rpbmc6MTE5NTY3MzU1MTIyODE5NDQ2Ng==/original/837339ff-233d-4735-b724-dc4cf36e94fa.jpeg" TargetMode="External"/><Relationship Id="rId21" Type="http://schemas.openxmlformats.org/officeDocument/2006/relationships/hyperlink" Target="https://www.airbnb.com/rooms/1195673551228194466" TargetMode="External"/><Relationship Id="rId24" Type="http://schemas.openxmlformats.org/officeDocument/2006/relationships/hyperlink" Target="https://a0.muscache.com/im/pictures/442ba2e6-4274-45ca-83af-40b34ca94214.jpg" TargetMode="External"/><Relationship Id="rId23" Type="http://schemas.openxmlformats.org/officeDocument/2006/relationships/hyperlink" Target="https://www.airbnb.com/rooms/13345306" TargetMode="External"/><Relationship Id="rId1" Type="http://schemas.openxmlformats.org/officeDocument/2006/relationships/hyperlink" Target="https://www.airbnb.com/rooms/1380547519483876388" TargetMode="External"/><Relationship Id="rId2" Type="http://schemas.openxmlformats.org/officeDocument/2006/relationships/hyperlink" Target="https://a0.muscache.com/im/pictures/miso/Hosting-1380547519483876388/original/d0e7a8c7-75ad-43f2-a6bd-bef265e2b9ed.jpeg" TargetMode="External"/><Relationship Id="rId3" Type="http://schemas.openxmlformats.org/officeDocument/2006/relationships/hyperlink" Target="https://www.airbnb.com/rooms/47175920" TargetMode="External"/><Relationship Id="rId4" Type="http://schemas.openxmlformats.org/officeDocument/2006/relationships/hyperlink" Target="https://a0.muscache.com/im/pictures/5f5a7afd-50e1-4675-aec6-f53b4ac2eb44.jpg?aki_policy=x_large" TargetMode="External"/><Relationship Id="rId9" Type="http://schemas.openxmlformats.org/officeDocument/2006/relationships/hyperlink" Target="https://www.vrbo.com/3498966" TargetMode="External"/><Relationship Id="rId26" Type="http://schemas.openxmlformats.org/officeDocument/2006/relationships/hyperlink" Target="https://a0.muscache.com/im/pictures/miso/Hosting-53901371/original/60361c0c-323f-4b62-aeb2-e44eb96e11f5.jpeg" TargetMode="External"/><Relationship Id="rId25" Type="http://schemas.openxmlformats.org/officeDocument/2006/relationships/hyperlink" Target="https://www.airbnb.com/rooms/53901371" TargetMode="External"/><Relationship Id="rId28" Type="http://schemas.openxmlformats.org/officeDocument/2006/relationships/hyperlink" Target="https://a0.muscache.com/im/pictures/6d9b0026-3fab-4e95-91e6-b5da0dd1ed70.jpg" TargetMode="External"/><Relationship Id="rId27" Type="http://schemas.openxmlformats.org/officeDocument/2006/relationships/hyperlink" Target="https://www.airbnb.com/rooms/31448523" TargetMode="External"/><Relationship Id="rId5" Type="http://schemas.openxmlformats.org/officeDocument/2006/relationships/hyperlink" Target="https://www.airbnb.com/rooms/47125870" TargetMode="External"/><Relationship Id="rId6" Type="http://schemas.openxmlformats.org/officeDocument/2006/relationships/hyperlink" Target="https://a0.muscache.com/im/pictures/miso/Hosting-47125870/original/0958d2f8-f3cb-41a4-83df-93b42e4078d0.jpeg" TargetMode="External"/><Relationship Id="rId29" Type="http://schemas.openxmlformats.org/officeDocument/2006/relationships/hyperlink" Target="https://www.airbnb.com/rooms/42246868" TargetMode="External"/><Relationship Id="rId7" Type="http://schemas.openxmlformats.org/officeDocument/2006/relationships/hyperlink" Target="https://www.airbnb.com/rooms/30936367" TargetMode="External"/><Relationship Id="rId8" Type="http://schemas.openxmlformats.org/officeDocument/2006/relationships/hyperlink" Target="https://a0.muscache.com/im/pictures/prohost-api/Hosting-30936367/original/f8af8a7e-98c5-4162-a781-7f8fe89dc65d.jpeg" TargetMode="External"/><Relationship Id="rId31" Type="http://schemas.openxmlformats.org/officeDocument/2006/relationships/hyperlink" Target="https://www.airbnb.com/rooms/1140611294002162255" TargetMode="External"/><Relationship Id="rId30" Type="http://schemas.openxmlformats.org/officeDocument/2006/relationships/hyperlink" Target="https://a0.muscache.com/im/pictures/d9c9d907-5626-41cf-9c0d-bb5ee9e2ad26.jpg" TargetMode="External"/><Relationship Id="rId11" Type="http://schemas.openxmlformats.org/officeDocument/2006/relationships/hyperlink" Target="https://www.vrbo.com/1645114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media.vrbo.com/lodging/96000000/95960000/95952000/95951979/c784164a.jpg?impolicy=resizecrop&amp;rw=1200&amp;ra=fit" TargetMode="External"/><Relationship Id="rId32" Type="http://schemas.openxmlformats.org/officeDocument/2006/relationships/hyperlink" Target="https://a0.muscache.com/im/pictures/prohost-api/Hosting-1140611294002162255/original/0603eaa1-bcab-49b6-b60c-d5b291477b9d.jpeg" TargetMode="External"/><Relationship Id="rId13" Type="http://schemas.openxmlformats.org/officeDocument/2006/relationships/hyperlink" Target="https://www.airbnb.com/rooms/1140612082929118825" TargetMode="External"/><Relationship Id="rId12" Type="http://schemas.openxmlformats.org/officeDocument/2006/relationships/hyperlink" Target="https://media.vrbo.com/lodging/37000000/36890000/36885700/36885660/0c401905.jpg?impolicy=resizecrop&amp;rw=1200&amp;ra=fit" TargetMode="External"/><Relationship Id="rId15" Type="http://schemas.openxmlformats.org/officeDocument/2006/relationships/hyperlink" Target="https://www.airbnb.com/rooms/31743374" TargetMode="External"/><Relationship Id="rId14" Type="http://schemas.openxmlformats.org/officeDocument/2006/relationships/hyperlink" Target="https://a0.muscache.com/im/pictures/prohost-api/Hosting-1140612082929118825/original/a2e56a34-03fb-48b3-be33-940a8030a705.jpeg" TargetMode="External"/><Relationship Id="rId17" Type="http://schemas.openxmlformats.org/officeDocument/2006/relationships/hyperlink" Target="https://www.airbnb.com/rooms/28133039" TargetMode="External"/><Relationship Id="rId16" Type="http://schemas.openxmlformats.org/officeDocument/2006/relationships/hyperlink" Target="https://a0.muscache.com/im/pictures/7dc200ce-16b9-4e0d-b4af-731b546bf66e.jpg" TargetMode="External"/><Relationship Id="rId19" Type="http://schemas.openxmlformats.org/officeDocument/2006/relationships/hyperlink" Target="https://www.vrbo.com/3612705" TargetMode="External"/><Relationship Id="rId18" Type="http://schemas.openxmlformats.org/officeDocument/2006/relationships/hyperlink" Target="https://a0.muscache.com/im/pictures/hosting/Hosting-28133039/original/ea0bf8dd-911e-40cf-b14f-5eabab8f5188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8.38"/>
    <col customWidth="1" min="23" max="23" width="13.75"/>
    <col customWidth="1" min="46" max="46" width="21.0"/>
    <col customWidth="1" min="47" max="47" width="18.0"/>
    <col customWidth="1" min="48" max="48" width="16.75"/>
    <col customWidth="1" min="49" max="49" width="1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</row>
    <row r="2">
      <c r="A2" s="1" t="s">
        <v>51</v>
      </c>
      <c r="B2" s="1">
        <v>1.744888E7</v>
      </c>
      <c r="D2" s="1">
        <v>119123.0</v>
      </c>
      <c r="E2" s="1">
        <v>201513.0</v>
      </c>
      <c r="F2" s="1">
        <v>3219.54</v>
      </c>
      <c r="G2" s="1">
        <v>27.82</v>
      </c>
      <c r="H2" s="1">
        <v>323.0</v>
      </c>
      <c r="I2" s="1">
        <v>10.0</v>
      </c>
      <c r="J2" s="1">
        <v>11.0</v>
      </c>
      <c r="K2" s="1">
        <v>16.0</v>
      </c>
      <c r="L2" s="1" t="b">
        <v>0</v>
      </c>
      <c r="M2" s="1" t="b">
        <v>1</v>
      </c>
      <c r="N2" s="1" t="b">
        <v>1</v>
      </c>
      <c r="O2" s="1" t="b">
        <v>1</v>
      </c>
      <c r="P2" s="1" t="b">
        <v>1</v>
      </c>
      <c r="Q2" s="1" t="b">
        <v>0</v>
      </c>
      <c r="R2" s="1" t="b">
        <v>0</v>
      </c>
      <c r="S2" s="1" t="s">
        <v>52</v>
      </c>
      <c r="T2" s="1" t="s">
        <v>53</v>
      </c>
      <c r="U2" s="1" t="s">
        <v>54</v>
      </c>
      <c r="V2" s="1">
        <v>4.0</v>
      </c>
      <c r="W2" s="1">
        <v>1.0</v>
      </c>
      <c r="X2" s="1">
        <v>2.0</v>
      </c>
      <c r="Y2" s="3">
        <v>46193.0</v>
      </c>
      <c r="Z2" s="1" t="s">
        <v>55</v>
      </c>
      <c r="AA2" s="1" t="b">
        <v>0</v>
      </c>
      <c r="AB2" s="1">
        <v>0.0</v>
      </c>
      <c r="AC2" s="1" t="b">
        <v>0</v>
      </c>
      <c r="AD2" s="1">
        <v>37.0</v>
      </c>
      <c r="AE2" s="1">
        <v>9.0</v>
      </c>
      <c r="AF2" s="4">
        <v>46158.0</v>
      </c>
      <c r="AG2" s="1" t="s">
        <v>56</v>
      </c>
      <c r="AH2" s="1" t="s">
        <v>56</v>
      </c>
      <c r="AI2" s="1" t="s">
        <v>56</v>
      </c>
      <c r="AJ2" s="1" t="s">
        <v>57</v>
      </c>
      <c r="AK2" s="1">
        <v>81225.0</v>
      </c>
      <c r="AL2" s="1" t="s">
        <v>58</v>
      </c>
      <c r="AM2" s="1" t="s">
        <v>59</v>
      </c>
      <c r="AN2" s="5" t="s">
        <v>60</v>
      </c>
      <c r="AO2" s="5" t="s">
        <v>61</v>
      </c>
      <c r="AP2" s="1" t="s">
        <v>62</v>
      </c>
      <c r="AR2" s="1">
        <v>38.9029</v>
      </c>
      <c r="AS2" s="1">
        <v>-106.9663</v>
      </c>
      <c r="AT2" s="6">
        <v>45.0</v>
      </c>
      <c r="AU2" s="7">
        <f t="shared" ref="AU2:AU17" si="1">AVERAGE($D$2:$D$17)</f>
        <v>322512.75</v>
      </c>
      <c r="AV2" s="7">
        <f t="shared" ref="AV2:AV17" si="2">G2-AT2</f>
        <v>-17.18</v>
      </c>
      <c r="AW2" s="7">
        <f t="shared" ref="AW2:AW17" si="3">IFERROR(($AU2-D2)/D2*100,"")</f>
        <v>170.7392779</v>
      </c>
      <c r="AX2" s="7">
        <f t="shared" ref="AX2:AX17" si="4">$AU2-D2</f>
        <v>203389.75</v>
      </c>
      <c r="AY2" s="7">
        <f t="shared" ref="AY2:AY17" si="5">E2-D2</f>
        <v>82390</v>
      </c>
    </row>
    <row r="3">
      <c r="A3" s="1" t="s">
        <v>63</v>
      </c>
      <c r="B3" s="1">
        <v>3.8107892E8</v>
      </c>
      <c r="D3" s="1">
        <v>128867.0</v>
      </c>
      <c r="E3" s="1">
        <v>155744.0</v>
      </c>
      <c r="F3" s="1">
        <v>2526.8</v>
      </c>
      <c r="G3" s="1">
        <v>30.0</v>
      </c>
      <c r="H3" s="1">
        <v>302.0</v>
      </c>
      <c r="I3" s="1">
        <v>7.0</v>
      </c>
      <c r="J3" s="1">
        <v>7.0</v>
      </c>
      <c r="K3" s="1">
        <v>16.0</v>
      </c>
      <c r="L3" s="1" t="b">
        <v>1</v>
      </c>
      <c r="M3" s="1" t="b">
        <v>0</v>
      </c>
      <c r="N3" s="1" t="b">
        <v>1</v>
      </c>
      <c r="O3" s="1" t="b">
        <v>1</v>
      </c>
      <c r="P3" s="1" t="b">
        <v>1</v>
      </c>
      <c r="Q3" s="1" t="b">
        <v>0</v>
      </c>
      <c r="R3" s="1" t="b">
        <v>0</v>
      </c>
      <c r="S3" s="1" t="s">
        <v>52</v>
      </c>
      <c r="T3" s="1" t="s">
        <v>53</v>
      </c>
      <c r="U3" s="1" t="s">
        <v>54</v>
      </c>
      <c r="V3" s="1">
        <v>5.0</v>
      </c>
      <c r="W3" s="1">
        <v>34.0</v>
      </c>
      <c r="X3" s="1">
        <v>3.0</v>
      </c>
      <c r="Y3" s="1">
        <v>1.0</v>
      </c>
      <c r="Z3" s="1" t="s">
        <v>55</v>
      </c>
      <c r="AA3" s="1" t="b">
        <v>0</v>
      </c>
      <c r="AB3" s="1">
        <v>700.0</v>
      </c>
      <c r="AC3" s="1" t="b">
        <v>1</v>
      </c>
      <c r="AD3" s="1">
        <v>51.0</v>
      </c>
      <c r="AE3" s="1">
        <v>9.0</v>
      </c>
      <c r="AF3" s="4">
        <v>45130.0</v>
      </c>
      <c r="AG3" s="1" t="s">
        <v>56</v>
      </c>
      <c r="AH3" s="1" t="s">
        <v>56</v>
      </c>
      <c r="AI3" s="1" t="s">
        <v>56</v>
      </c>
      <c r="AJ3" s="1" t="s">
        <v>57</v>
      </c>
      <c r="AK3" s="1">
        <v>81225.0</v>
      </c>
      <c r="AL3" s="1" t="s">
        <v>58</v>
      </c>
      <c r="AM3" s="1" t="s">
        <v>59</v>
      </c>
      <c r="AN3" s="5" t="s">
        <v>64</v>
      </c>
      <c r="AO3" s="5" t="s">
        <v>65</v>
      </c>
      <c r="AP3" s="1">
        <v>4.717592E7</v>
      </c>
      <c r="AQ3" s="1">
        <v>2051610.0</v>
      </c>
      <c r="AR3" s="1">
        <v>38.88708</v>
      </c>
      <c r="AS3" s="1">
        <v>-106.96534</v>
      </c>
      <c r="AT3" s="6">
        <v>45.0</v>
      </c>
      <c r="AU3" s="7">
        <f t="shared" si="1"/>
        <v>322512.75</v>
      </c>
      <c r="AV3" s="7">
        <f t="shared" si="2"/>
        <v>-15</v>
      </c>
      <c r="AW3" s="7">
        <f t="shared" si="3"/>
        <v>150.2679119</v>
      </c>
      <c r="AX3" s="7">
        <f t="shared" si="4"/>
        <v>193645.75</v>
      </c>
      <c r="AY3" s="7">
        <f t="shared" si="5"/>
        <v>26877</v>
      </c>
    </row>
    <row r="4">
      <c r="A4" s="1" t="s">
        <v>66</v>
      </c>
      <c r="B4" s="1">
        <v>7569546.0</v>
      </c>
      <c r="D4" s="1">
        <v>155105.0</v>
      </c>
      <c r="E4" s="1">
        <v>209767.0</v>
      </c>
      <c r="F4" s="1">
        <v>1938.81</v>
      </c>
      <c r="G4" s="1">
        <v>33.33</v>
      </c>
      <c r="H4" s="1">
        <v>336.0</v>
      </c>
      <c r="I4" s="1">
        <v>7.0</v>
      </c>
      <c r="J4" s="1">
        <v>4.0</v>
      </c>
      <c r="K4" s="1">
        <v>16.0</v>
      </c>
      <c r="L4" s="1" t="b">
        <v>0</v>
      </c>
      <c r="M4" s="1" t="b">
        <v>0</v>
      </c>
      <c r="N4" s="1" t="b">
        <v>1</v>
      </c>
      <c r="O4" s="1" t="b">
        <v>1</v>
      </c>
      <c r="P4" s="1" t="b">
        <v>1</v>
      </c>
      <c r="Q4" s="1" t="b">
        <v>0</v>
      </c>
      <c r="R4" s="1" t="b">
        <v>0</v>
      </c>
      <c r="S4" s="1" t="s">
        <v>52</v>
      </c>
      <c r="T4" s="1" t="s">
        <v>53</v>
      </c>
      <c r="U4" s="1" t="s">
        <v>54</v>
      </c>
      <c r="V4" s="1">
        <v>5.0</v>
      </c>
      <c r="W4" s="1">
        <v>89.0</v>
      </c>
      <c r="X4" s="1">
        <v>3.0</v>
      </c>
      <c r="Y4" s="3">
        <v>46058.0</v>
      </c>
      <c r="Z4" s="1" t="s">
        <v>55</v>
      </c>
      <c r="AA4" s="1" t="b">
        <v>1</v>
      </c>
      <c r="AB4" s="1">
        <v>650.0</v>
      </c>
      <c r="AC4" s="1" t="b">
        <v>0</v>
      </c>
      <c r="AD4" s="1">
        <v>80.0</v>
      </c>
      <c r="AE4" s="1">
        <v>18.0</v>
      </c>
      <c r="AF4" s="4">
        <v>46155.0</v>
      </c>
      <c r="AG4" s="1" t="s">
        <v>56</v>
      </c>
      <c r="AH4" s="1" t="s">
        <v>56</v>
      </c>
      <c r="AI4" s="1" t="s">
        <v>56</v>
      </c>
      <c r="AJ4" s="1" t="s">
        <v>57</v>
      </c>
      <c r="AK4" s="1">
        <v>81224.0</v>
      </c>
      <c r="AL4" s="1" t="s">
        <v>58</v>
      </c>
      <c r="AM4" s="1" t="s">
        <v>59</v>
      </c>
      <c r="AN4" s="5" t="s">
        <v>67</v>
      </c>
      <c r="AO4" s="5" t="s">
        <v>68</v>
      </c>
      <c r="AP4" s="1">
        <v>4.712587E7</v>
      </c>
      <c r="AQ4" s="1">
        <v>2342949.0</v>
      </c>
      <c r="AR4" s="1">
        <v>38.86714</v>
      </c>
      <c r="AS4" s="1">
        <v>-106.98533</v>
      </c>
      <c r="AT4" s="6">
        <v>45.0</v>
      </c>
      <c r="AU4" s="7">
        <f t="shared" si="1"/>
        <v>322512.75</v>
      </c>
      <c r="AV4" s="7">
        <f t="shared" si="2"/>
        <v>-11.67</v>
      </c>
      <c r="AW4" s="7">
        <f t="shared" si="3"/>
        <v>107.9318849</v>
      </c>
      <c r="AX4" s="7">
        <f t="shared" si="4"/>
        <v>167407.75</v>
      </c>
      <c r="AY4" s="7">
        <f t="shared" si="5"/>
        <v>54662</v>
      </c>
    </row>
    <row r="5">
      <c r="A5" s="1" t="s">
        <v>69</v>
      </c>
      <c r="B5" s="1" t="s">
        <v>70</v>
      </c>
      <c r="D5" s="1">
        <v>95846.0</v>
      </c>
      <c r="E5" s="1">
        <v>176874.0</v>
      </c>
      <c r="F5" s="1">
        <v>2396.15</v>
      </c>
      <c r="G5" s="1">
        <v>35.4</v>
      </c>
      <c r="H5" s="1">
        <v>258.0</v>
      </c>
      <c r="I5" s="1">
        <v>6.0</v>
      </c>
      <c r="J5" s="1">
        <v>5.0</v>
      </c>
      <c r="K5" s="1">
        <v>16.0</v>
      </c>
      <c r="L5" s="1" t="b">
        <v>0</v>
      </c>
      <c r="M5" s="1" t="b">
        <v>0</v>
      </c>
      <c r="N5" s="1" t="b">
        <v>1</v>
      </c>
      <c r="O5" s="1" t="b">
        <v>1</v>
      </c>
      <c r="P5" s="1" t="b">
        <v>1</v>
      </c>
      <c r="Q5" s="1" t="b">
        <v>1</v>
      </c>
      <c r="R5" s="1" t="b">
        <v>0</v>
      </c>
      <c r="S5" s="1" t="s">
        <v>52</v>
      </c>
      <c r="T5" s="1" t="s">
        <v>53</v>
      </c>
      <c r="U5" s="1" t="s">
        <v>54</v>
      </c>
      <c r="V5" s="1">
        <v>5.0</v>
      </c>
      <c r="W5" s="1">
        <v>18.0</v>
      </c>
      <c r="X5" s="1">
        <v>3.0</v>
      </c>
      <c r="Y5" s="3">
        <v>46193.0</v>
      </c>
      <c r="Z5" s="1" t="s">
        <v>55</v>
      </c>
      <c r="AA5" s="1" t="b">
        <v>1</v>
      </c>
      <c r="AB5" s="1">
        <v>1334.0</v>
      </c>
      <c r="AC5" s="1" t="b">
        <v>1</v>
      </c>
      <c r="AD5" s="1">
        <v>40.0</v>
      </c>
      <c r="AE5" s="1">
        <v>7.0</v>
      </c>
      <c r="AF5" s="4">
        <v>46155.0</v>
      </c>
      <c r="AG5" s="1" t="s">
        <v>56</v>
      </c>
      <c r="AH5" s="1" t="s">
        <v>56</v>
      </c>
      <c r="AI5" s="1" t="s">
        <v>56</v>
      </c>
      <c r="AJ5" s="1" t="s">
        <v>57</v>
      </c>
      <c r="AK5" s="1">
        <v>81225.0</v>
      </c>
      <c r="AL5" s="1" t="s">
        <v>58</v>
      </c>
      <c r="AM5" s="1" t="s">
        <v>59</v>
      </c>
      <c r="AN5" s="5" t="s">
        <v>71</v>
      </c>
      <c r="AO5" s="5" t="s">
        <v>72</v>
      </c>
      <c r="AP5" s="1">
        <v>3.0936367E7</v>
      </c>
      <c r="AQ5" s="1">
        <v>1220954.0</v>
      </c>
      <c r="AR5" s="1">
        <v>38.8925</v>
      </c>
      <c r="AS5" s="1">
        <v>-106.9638</v>
      </c>
      <c r="AT5" s="6">
        <v>45.0</v>
      </c>
      <c r="AU5" s="7">
        <f t="shared" si="1"/>
        <v>322512.75</v>
      </c>
      <c r="AV5" s="7">
        <f t="shared" si="2"/>
        <v>-9.6</v>
      </c>
      <c r="AW5" s="7">
        <f t="shared" si="3"/>
        <v>236.4905682</v>
      </c>
      <c r="AX5" s="7">
        <f t="shared" si="4"/>
        <v>226666.75</v>
      </c>
      <c r="AY5" s="7">
        <f t="shared" si="5"/>
        <v>81028</v>
      </c>
    </row>
    <row r="6">
      <c r="A6" s="1" t="s">
        <v>73</v>
      </c>
      <c r="B6" s="1" t="s">
        <v>74</v>
      </c>
      <c r="D6" s="1">
        <v>234484.0</v>
      </c>
      <c r="E6" s="1">
        <v>270546.0</v>
      </c>
      <c r="F6" s="1">
        <v>2859.56</v>
      </c>
      <c r="G6" s="1">
        <v>36.77</v>
      </c>
      <c r="H6" s="1">
        <v>306.0</v>
      </c>
      <c r="I6" s="1">
        <v>6.0</v>
      </c>
      <c r="J6" s="1">
        <v>6.0</v>
      </c>
      <c r="K6" s="1">
        <v>14.0</v>
      </c>
      <c r="L6" s="1" t="b">
        <v>0</v>
      </c>
      <c r="M6" s="1" t="b">
        <v>0</v>
      </c>
      <c r="N6" s="1" t="b">
        <v>0</v>
      </c>
      <c r="O6" s="1" t="b">
        <v>1</v>
      </c>
      <c r="P6" s="1" t="b">
        <v>1</v>
      </c>
      <c r="Q6" s="1" t="b">
        <v>1</v>
      </c>
      <c r="R6" s="1" t="b">
        <v>0</v>
      </c>
      <c r="S6" s="1" t="s">
        <v>52</v>
      </c>
      <c r="T6" s="1" t="s">
        <v>53</v>
      </c>
      <c r="U6" s="1" t="s">
        <v>54</v>
      </c>
      <c r="V6" s="1">
        <v>5.0</v>
      </c>
      <c r="W6" s="1">
        <v>3.0</v>
      </c>
      <c r="X6" s="1">
        <v>3.0</v>
      </c>
      <c r="Y6" s="3">
        <v>46193.0</v>
      </c>
      <c r="Z6" s="1" t="s">
        <v>55</v>
      </c>
      <c r="AA6" s="1" t="b">
        <v>0</v>
      </c>
      <c r="AB6" s="1">
        <v>0.0</v>
      </c>
      <c r="AC6" s="1" t="b">
        <v>1</v>
      </c>
      <c r="AD6" s="1">
        <v>82.0</v>
      </c>
      <c r="AE6" s="1">
        <v>17.0</v>
      </c>
      <c r="AF6" s="4">
        <v>46158.0</v>
      </c>
      <c r="AG6" s="1" t="s">
        <v>56</v>
      </c>
      <c r="AH6" s="1" t="s">
        <v>56</v>
      </c>
      <c r="AI6" s="1" t="s">
        <v>56</v>
      </c>
      <c r="AJ6" s="1" t="s">
        <v>57</v>
      </c>
      <c r="AK6" s="1">
        <v>81224.0</v>
      </c>
      <c r="AL6" s="1" t="s">
        <v>58</v>
      </c>
      <c r="AM6" s="1" t="s">
        <v>59</v>
      </c>
      <c r="AN6" s="5" t="s">
        <v>75</v>
      </c>
      <c r="AO6" s="5" t="s">
        <v>76</v>
      </c>
      <c r="AQ6" s="1">
        <v>3498966.0</v>
      </c>
      <c r="AR6" s="1">
        <v>38.868191</v>
      </c>
      <c r="AS6" s="1">
        <v>-106.982397</v>
      </c>
      <c r="AT6" s="6">
        <v>45.0</v>
      </c>
      <c r="AU6" s="7">
        <f t="shared" si="1"/>
        <v>322512.75</v>
      </c>
      <c r="AV6" s="7">
        <f t="shared" si="2"/>
        <v>-8.23</v>
      </c>
      <c r="AW6" s="7">
        <f t="shared" si="3"/>
        <v>37.54147405</v>
      </c>
      <c r="AX6" s="7">
        <f t="shared" si="4"/>
        <v>88028.75</v>
      </c>
      <c r="AY6" s="7">
        <f t="shared" si="5"/>
        <v>36062</v>
      </c>
    </row>
    <row r="7">
      <c r="A7" s="1" t="s">
        <v>77</v>
      </c>
      <c r="D7" s="1">
        <v>367376.0</v>
      </c>
      <c r="E7" s="1">
        <v>504023.0</v>
      </c>
      <c r="F7" s="1">
        <v>4127.82</v>
      </c>
      <c r="G7" s="1">
        <v>43.2</v>
      </c>
      <c r="H7" s="1">
        <v>279.0</v>
      </c>
      <c r="I7" s="1">
        <v>8.0</v>
      </c>
      <c r="J7" s="1">
        <v>9.0</v>
      </c>
      <c r="K7" s="1">
        <v>23.0</v>
      </c>
      <c r="L7" s="1" t="b">
        <v>1</v>
      </c>
      <c r="M7" s="1" t="b">
        <v>1</v>
      </c>
      <c r="N7" s="1" t="b">
        <v>1</v>
      </c>
      <c r="O7" s="1" t="b">
        <v>1</v>
      </c>
      <c r="P7" s="1" t="b">
        <v>1</v>
      </c>
      <c r="Q7" s="1" t="b">
        <v>1</v>
      </c>
      <c r="R7" s="1" t="b">
        <v>0</v>
      </c>
      <c r="S7" s="1" t="s">
        <v>52</v>
      </c>
      <c r="T7" s="1" t="s">
        <v>53</v>
      </c>
      <c r="U7" s="1" t="s">
        <v>54</v>
      </c>
      <c r="V7" s="1">
        <v>5.0</v>
      </c>
      <c r="W7" s="1">
        <v>65.0</v>
      </c>
      <c r="X7" s="1">
        <v>5.0</v>
      </c>
      <c r="Y7" s="1">
        <v>1.0</v>
      </c>
      <c r="Z7" s="1" t="s">
        <v>55</v>
      </c>
      <c r="AA7" s="1" t="b">
        <v>0</v>
      </c>
      <c r="AB7" s="1">
        <v>996.0</v>
      </c>
      <c r="AC7" s="1" t="b">
        <v>1</v>
      </c>
      <c r="AD7" s="1">
        <v>89.0</v>
      </c>
      <c r="AE7" s="1">
        <v>20.0</v>
      </c>
      <c r="AF7" s="4">
        <v>46156.0</v>
      </c>
      <c r="AG7" s="1" t="s">
        <v>56</v>
      </c>
      <c r="AH7" s="1" t="s">
        <v>56</v>
      </c>
      <c r="AI7" s="1" t="s">
        <v>56</v>
      </c>
      <c r="AJ7" s="1" t="s">
        <v>57</v>
      </c>
      <c r="AK7" s="1">
        <v>81224.0</v>
      </c>
      <c r="AL7" s="1" t="s">
        <v>58</v>
      </c>
      <c r="AM7" s="1" t="s">
        <v>59</v>
      </c>
      <c r="AN7" s="5" t="s">
        <v>78</v>
      </c>
      <c r="AO7" s="5" t="s">
        <v>79</v>
      </c>
      <c r="AQ7" s="1">
        <v>1645114.0</v>
      </c>
      <c r="AR7" s="1">
        <v>38.863708</v>
      </c>
      <c r="AS7" s="1">
        <v>-106.988985</v>
      </c>
      <c r="AT7" s="6">
        <v>45.0</v>
      </c>
      <c r="AU7" s="7">
        <f t="shared" si="1"/>
        <v>322512.75</v>
      </c>
      <c r="AV7" s="7">
        <f t="shared" si="2"/>
        <v>-1.8</v>
      </c>
      <c r="AW7" s="7">
        <f t="shared" si="3"/>
        <v>-12.21180752</v>
      </c>
      <c r="AX7" s="7">
        <f t="shared" si="4"/>
        <v>-44863.25</v>
      </c>
      <c r="AY7" s="7">
        <f t="shared" si="5"/>
        <v>136647</v>
      </c>
    </row>
    <row r="8">
      <c r="A8" s="1" t="s">
        <v>80</v>
      </c>
      <c r="B8" s="1" t="s">
        <v>74</v>
      </c>
      <c r="D8" s="1">
        <v>159566.0</v>
      </c>
      <c r="E8" s="1">
        <v>355007.0</v>
      </c>
      <c r="F8" s="1">
        <v>2532.79</v>
      </c>
      <c r="G8" s="1">
        <v>45.32</v>
      </c>
      <c r="H8" s="1">
        <v>257.0</v>
      </c>
      <c r="I8" s="1">
        <v>6.0</v>
      </c>
      <c r="J8" s="1">
        <v>7.0</v>
      </c>
      <c r="K8" s="1">
        <v>12.0</v>
      </c>
      <c r="L8" s="1" t="b">
        <v>0</v>
      </c>
      <c r="M8" s="1" t="b">
        <v>0</v>
      </c>
      <c r="N8" s="1" t="b">
        <v>0</v>
      </c>
      <c r="O8" s="1" t="b">
        <v>1</v>
      </c>
      <c r="P8" s="1" t="b">
        <v>1</v>
      </c>
      <c r="Q8" s="1" t="b">
        <v>1</v>
      </c>
      <c r="R8" s="1" t="b">
        <v>0</v>
      </c>
      <c r="S8" s="1" t="s">
        <v>52</v>
      </c>
      <c r="T8" s="1" t="s">
        <v>53</v>
      </c>
      <c r="U8" s="1" t="s">
        <v>54</v>
      </c>
      <c r="V8" s="1">
        <v>5.0</v>
      </c>
      <c r="W8" s="1">
        <v>2.0</v>
      </c>
      <c r="X8" s="1">
        <v>3.0</v>
      </c>
      <c r="Y8" s="3">
        <v>46193.0</v>
      </c>
      <c r="Z8" s="1" t="s">
        <v>55</v>
      </c>
      <c r="AA8" s="1" t="b">
        <v>1</v>
      </c>
      <c r="AB8" s="1">
        <v>1844.0</v>
      </c>
      <c r="AC8" s="1" t="b">
        <v>1</v>
      </c>
      <c r="AD8" s="1">
        <v>63.0</v>
      </c>
      <c r="AE8" s="1">
        <v>9.0</v>
      </c>
      <c r="AF8" s="4">
        <v>46155.0</v>
      </c>
      <c r="AG8" s="1" t="s">
        <v>56</v>
      </c>
      <c r="AH8" s="1" t="s">
        <v>56</v>
      </c>
      <c r="AI8" s="1" t="s">
        <v>56</v>
      </c>
      <c r="AJ8" s="1" t="s">
        <v>57</v>
      </c>
      <c r="AK8" s="1">
        <v>81224.0</v>
      </c>
      <c r="AL8" s="1" t="s">
        <v>58</v>
      </c>
      <c r="AM8" s="1" t="s">
        <v>59</v>
      </c>
      <c r="AN8" s="5" t="s">
        <v>81</v>
      </c>
      <c r="AO8" s="5" t="s">
        <v>82</v>
      </c>
      <c r="AP8" s="1" t="s">
        <v>83</v>
      </c>
      <c r="AQ8" s="1">
        <v>3847984.0</v>
      </c>
      <c r="AR8" s="1">
        <v>38.868</v>
      </c>
      <c r="AS8" s="1">
        <v>-106.9815</v>
      </c>
      <c r="AT8" s="6">
        <v>45.0</v>
      </c>
      <c r="AU8" s="7">
        <f t="shared" si="1"/>
        <v>322512.75</v>
      </c>
      <c r="AV8" s="7">
        <f t="shared" si="2"/>
        <v>0.32</v>
      </c>
      <c r="AW8" s="7">
        <f t="shared" si="3"/>
        <v>102.1187158</v>
      </c>
      <c r="AX8" s="7">
        <f t="shared" si="4"/>
        <v>162946.75</v>
      </c>
      <c r="AY8" s="7">
        <f t="shared" si="5"/>
        <v>195441</v>
      </c>
    </row>
    <row r="9">
      <c r="A9" s="1" t="s">
        <v>84</v>
      </c>
      <c r="B9" s="1" t="s">
        <v>74</v>
      </c>
      <c r="D9" s="1">
        <v>234187.0</v>
      </c>
      <c r="E9" s="1">
        <v>263107.0</v>
      </c>
      <c r="F9" s="1">
        <v>1967.96</v>
      </c>
      <c r="G9" s="1">
        <v>46.67</v>
      </c>
      <c r="H9" s="1">
        <v>330.0</v>
      </c>
      <c r="I9" s="1">
        <v>6.0</v>
      </c>
      <c r="J9" s="1">
        <v>6.0</v>
      </c>
      <c r="K9" s="1">
        <v>16.0</v>
      </c>
      <c r="L9" s="1" t="b">
        <v>0</v>
      </c>
      <c r="M9" s="1" t="b">
        <v>0</v>
      </c>
      <c r="N9" s="1" t="b">
        <v>1</v>
      </c>
      <c r="O9" s="1" t="b">
        <v>1</v>
      </c>
      <c r="P9" s="1" t="b">
        <v>1</v>
      </c>
      <c r="Q9" s="1" t="b">
        <v>0</v>
      </c>
      <c r="R9" s="1" t="b">
        <v>0</v>
      </c>
      <c r="S9" s="1" t="s">
        <v>52</v>
      </c>
      <c r="T9" s="1" t="s">
        <v>85</v>
      </c>
      <c r="U9" s="1" t="s">
        <v>86</v>
      </c>
      <c r="V9" s="1">
        <v>5.0</v>
      </c>
      <c r="W9" s="1">
        <v>72.0</v>
      </c>
      <c r="X9" s="1">
        <v>3.0</v>
      </c>
      <c r="Y9" s="3">
        <v>46193.0</v>
      </c>
      <c r="Z9" s="1" t="s">
        <v>55</v>
      </c>
      <c r="AA9" s="1" t="b">
        <v>0</v>
      </c>
      <c r="AB9" s="1">
        <v>600.0</v>
      </c>
      <c r="AC9" s="1" t="b">
        <v>0</v>
      </c>
      <c r="AD9" s="1">
        <v>119.0</v>
      </c>
      <c r="AE9" s="1">
        <v>27.0</v>
      </c>
      <c r="AF9" s="4">
        <v>45761.0</v>
      </c>
      <c r="AG9" s="1" t="s">
        <v>56</v>
      </c>
      <c r="AH9" s="1" t="s">
        <v>56</v>
      </c>
      <c r="AI9" s="1" t="s">
        <v>56</v>
      </c>
      <c r="AJ9" s="1" t="s">
        <v>57</v>
      </c>
      <c r="AK9" s="1">
        <v>81225.0</v>
      </c>
      <c r="AL9" s="1" t="s">
        <v>58</v>
      </c>
      <c r="AM9" s="1" t="s">
        <v>59</v>
      </c>
      <c r="AN9" s="5" t="s">
        <v>87</v>
      </c>
      <c r="AO9" s="5" t="s">
        <v>88</v>
      </c>
      <c r="AP9" s="1">
        <v>3.1743374E7</v>
      </c>
      <c r="AQ9" s="1">
        <v>459763.0</v>
      </c>
      <c r="AR9" s="1">
        <v>38.89727</v>
      </c>
      <c r="AS9" s="1">
        <v>-106.96515</v>
      </c>
      <c r="AT9" s="6">
        <v>45.0</v>
      </c>
      <c r="AU9" s="7">
        <f t="shared" si="1"/>
        <v>322512.75</v>
      </c>
      <c r="AV9" s="7">
        <f t="shared" si="2"/>
        <v>1.67</v>
      </c>
      <c r="AW9" s="7">
        <f t="shared" si="3"/>
        <v>37.71590652</v>
      </c>
      <c r="AX9" s="7">
        <f t="shared" si="4"/>
        <v>88325.75</v>
      </c>
      <c r="AY9" s="7">
        <f t="shared" si="5"/>
        <v>28920</v>
      </c>
    </row>
    <row r="10">
      <c r="A10" s="1" t="s">
        <v>89</v>
      </c>
      <c r="B10" s="1">
        <v>2.12499095E8</v>
      </c>
      <c r="D10" s="1">
        <v>277365.0</v>
      </c>
      <c r="E10" s="1">
        <v>303803.0</v>
      </c>
      <c r="F10" s="1">
        <v>2201.31</v>
      </c>
      <c r="G10" s="1">
        <v>49.8</v>
      </c>
      <c r="H10" s="1">
        <v>339.0</v>
      </c>
      <c r="I10" s="1">
        <v>5.0</v>
      </c>
      <c r="J10" s="1">
        <v>5.0</v>
      </c>
      <c r="K10" s="1">
        <v>16.0</v>
      </c>
      <c r="L10" s="1" t="b">
        <v>1</v>
      </c>
      <c r="M10" s="1" t="b">
        <v>1</v>
      </c>
      <c r="N10" s="1" t="b">
        <v>1</v>
      </c>
      <c r="O10" s="1" t="b">
        <v>1</v>
      </c>
      <c r="P10" s="1" t="b">
        <v>1</v>
      </c>
      <c r="Q10" s="1" t="b">
        <v>1</v>
      </c>
      <c r="R10" s="1" t="b">
        <v>0</v>
      </c>
      <c r="S10" s="1" t="s">
        <v>52</v>
      </c>
      <c r="T10" s="1" t="s">
        <v>53</v>
      </c>
      <c r="U10" s="1" t="s">
        <v>54</v>
      </c>
      <c r="V10" s="1">
        <v>5.0</v>
      </c>
      <c r="W10" s="1">
        <v>79.0</v>
      </c>
      <c r="X10" s="1">
        <v>4.0</v>
      </c>
      <c r="Y10" s="1">
        <v>1.0</v>
      </c>
      <c r="Z10" s="1" t="s">
        <v>55</v>
      </c>
      <c r="AA10" s="1" t="b">
        <v>0</v>
      </c>
      <c r="AB10" s="1">
        <v>601.0</v>
      </c>
      <c r="AC10" s="1" t="b">
        <v>0</v>
      </c>
      <c r="AD10" s="1">
        <v>126.0</v>
      </c>
      <c r="AE10" s="1">
        <v>23.0</v>
      </c>
      <c r="AF10" s="4">
        <v>46155.0</v>
      </c>
      <c r="AG10" s="1" t="s">
        <v>56</v>
      </c>
      <c r="AH10" s="1" t="s">
        <v>56</v>
      </c>
      <c r="AI10" s="1" t="s">
        <v>56</v>
      </c>
      <c r="AJ10" s="1" t="s">
        <v>57</v>
      </c>
      <c r="AK10" s="1">
        <v>81224.0</v>
      </c>
      <c r="AL10" s="1" t="s">
        <v>58</v>
      </c>
      <c r="AM10" s="1" t="s">
        <v>59</v>
      </c>
      <c r="AN10" s="5" t="s">
        <v>90</v>
      </c>
      <c r="AO10" s="5" t="s">
        <v>91</v>
      </c>
      <c r="AP10" s="1">
        <v>2.8133039E7</v>
      </c>
      <c r="AQ10" s="1">
        <v>1429153.0</v>
      </c>
      <c r="AR10" s="1">
        <v>38.866</v>
      </c>
      <c r="AS10" s="1">
        <v>-107.0015</v>
      </c>
      <c r="AT10" s="6">
        <v>45.0</v>
      </c>
      <c r="AU10" s="7">
        <f t="shared" si="1"/>
        <v>322512.75</v>
      </c>
      <c r="AV10" s="7">
        <f t="shared" si="2"/>
        <v>4.8</v>
      </c>
      <c r="AW10" s="7">
        <f t="shared" si="3"/>
        <v>16.27737818</v>
      </c>
      <c r="AX10" s="7">
        <f t="shared" si="4"/>
        <v>45147.75</v>
      </c>
      <c r="AY10" s="7">
        <f t="shared" si="5"/>
        <v>26438</v>
      </c>
    </row>
    <row r="11">
      <c r="A11" s="1" t="s">
        <v>92</v>
      </c>
      <c r="B11" s="1" t="s">
        <v>74</v>
      </c>
      <c r="D11" s="1">
        <v>646934.0</v>
      </c>
      <c r="E11" s="1">
        <v>767329.0</v>
      </c>
      <c r="F11" s="1">
        <v>4341.84</v>
      </c>
      <c r="G11" s="1">
        <v>49.83</v>
      </c>
      <c r="H11" s="1">
        <v>322.0</v>
      </c>
      <c r="I11" s="1">
        <v>10.0</v>
      </c>
      <c r="J11" s="1">
        <v>10.0</v>
      </c>
      <c r="K11" s="1">
        <v>25.0</v>
      </c>
      <c r="L11" s="1" t="b">
        <v>0</v>
      </c>
      <c r="M11" s="1" t="b">
        <v>0</v>
      </c>
      <c r="N11" s="1" t="b">
        <v>1</v>
      </c>
      <c r="O11" s="1" t="b">
        <v>1</v>
      </c>
      <c r="P11" s="1" t="b">
        <v>1</v>
      </c>
      <c r="Q11" s="1" t="b">
        <v>1</v>
      </c>
      <c r="R11" s="1" t="b">
        <v>0</v>
      </c>
      <c r="S11" s="1" t="s">
        <v>52</v>
      </c>
      <c r="T11" s="1" t="s">
        <v>53</v>
      </c>
      <c r="U11" s="1" t="s">
        <v>54</v>
      </c>
      <c r="V11" s="1">
        <v>5.0</v>
      </c>
      <c r="W11" s="1">
        <v>3.0</v>
      </c>
      <c r="X11" s="1">
        <v>3.0</v>
      </c>
      <c r="Y11" s="3">
        <v>46193.0</v>
      </c>
      <c r="Z11" s="1" t="s">
        <v>55</v>
      </c>
      <c r="AA11" s="1" t="b">
        <v>0</v>
      </c>
      <c r="AB11" s="1">
        <v>0.0</v>
      </c>
      <c r="AC11" s="1" t="b">
        <v>1</v>
      </c>
      <c r="AD11" s="1">
        <v>149.0</v>
      </c>
      <c r="AE11" s="1">
        <v>33.0</v>
      </c>
      <c r="AF11" s="4">
        <v>46158.0</v>
      </c>
      <c r="AG11" s="1" t="s">
        <v>56</v>
      </c>
      <c r="AH11" s="1" t="s">
        <v>56</v>
      </c>
      <c r="AI11" s="1" t="s">
        <v>56</v>
      </c>
      <c r="AJ11" s="1" t="s">
        <v>57</v>
      </c>
      <c r="AK11" s="1">
        <v>81224.0</v>
      </c>
      <c r="AL11" s="1" t="s">
        <v>58</v>
      </c>
      <c r="AM11" s="1" t="s">
        <v>59</v>
      </c>
      <c r="AN11" s="5" t="s">
        <v>93</v>
      </c>
      <c r="AO11" s="5" t="s">
        <v>94</v>
      </c>
      <c r="AQ11" s="1">
        <v>3612705.0</v>
      </c>
      <c r="AR11" s="1">
        <v>38.868045</v>
      </c>
      <c r="AS11" s="1">
        <v>-106.982288</v>
      </c>
      <c r="AT11" s="6">
        <v>45.0</v>
      </c>
      <c r="AU11" s="7">
        <f t="shared" si="1"/>
        <v>322512.75</v>
      </c>
      <c r="AV11" s="7">
        <f t="shared" si="2"/>
        <v>4.83</v>
      </c>
      <c r="AW11" s="7">
        <f t="shared" si="3"/>
        <v>-50.14750345</v>
      </c>
      <c r="AX11" s="7">
        <f t="shared" si="4"/>
        <v>-324421.25</v>
      </c>
      <c r="AY11" s="7">
        <f t="shared" si="5"/>
        <v>120395</v>
      </c>
    </row>
    <row r="12">
      <c r="A12" s="1" t="s">
        <v>95</v>
      </c>
      <c r="B12" s="1">
        <v>5.0083365E7</v>
      </c>
      <c r="D12" s="1">
        <v>241560.0</v>
      </c>
      <c r="E12" s="1">
        <v>321644.0</v>
      </c>
      <c r="F12" s="1">
        <v>2236.67</v>
      </c>
      <c r="G12" s="1">
        <v>50.94</v>
      </c>
      <c r="H12" s="1">
        <v>268.0</v>
      </c>
      <c r="I12" s="1">
        <v>6.0</v>
      </c>
      <c r="J12" s="1">
        <v>5.0</v>
      </c>
      <c r="K12" s="1">
        <v>16.0</v>
      </c>
      <c r="L12" s="1" t="b">
        <v>0</v>
      </c>
      <c r="M12" s="1" t="b">
        <v>0</v>
      </c>
      <c r="N12" s="1" t="b">
        <v>1</v>
      </c>
      <c r="O12" s="1" t="b">
        <v>1</v>
      </c>
      <c r="P12" s="1" t="b">
        <v>1</v>
      </c>
      <c r="Q12" s="1" t="b">
        <v>1</v>
      </c>
      <c r="R12" s="1" t="b">
        <v>0</v>
      </c>
      <c r="S12" s="1" t="s">
        <v>52</v>
      </c>
      <c r="T12" s="1" t="s">
        <v>53</v>
      </c>
      <c r="U12" s="1" t="s">
        <v>54</v>
      </c>
      <c r="V12" s="1">
        <v>5.0</v>
      </c>
      <c r="W12" s="1">
        <v>47.0</v>
      </c>
      <c r="X12" s="1">
        <v>5.0</v>
      </c>
      <c r="Y12" s="3">
        <v>46058.0</v>
      </c>
      <c r="Z12" s="1" t="s">
        <v>55</v>
      </c>
      <c r="AA12" s="1" t="b">
        <v>1</v>
      </c>
      <c r="AB12" s="1">
        <v>651.0</v>
      </c>
      <c r="AC12" s="1" t="b">
        <v>1</v>
      </c>
      <c r="AD12" s="1">
        <v>108.0</v>
      </c>
      <c r="AE12" s="1">
        <v>25.0</v>
      </c>
      <c r="AF12" s="4">
        <v>46158.0</v>
      </c>
      <c r="AG12" s="1" t="s">
        <v>56</v>
      </c>
      <c r="AH12" s="1" t="s">
        <v>56</v>
      </c>
      <c r="AI12" s="1" t="s">
        <v>56</v>
      </c>
      <c r="AJ12" s="1" t="s">
        <v>57</v>
      </c>
      <c r="AK12" s="1">
        <v>81225.0</v>
      </c>
      <c r="AL12" s="1" t="s">
        <v>58</v>
      </c>
      <c r="AM12" s="1" t="s">
        <v>59</v>
      </c>
      <c r="AN12" s="5" t="s">
        <v>96</v>
      </c>
      <c r="AO12" s="5" t="s">
        <v>97</v>
      </c>
      <c r="AP12" s="1" t="s">
        <v>98</v>
      </c>
      <c r="AQ12" s="1">
        <v>2022622.0</v>
      </c>
      <c r="AR12" s="1">
        <v>38.91319</v>
      </c>
      <c r="AS12" s="1">
        <v>-106.95365</v>
      </c>
      <c r="AT12" s="6">
        <v>45.0</v>
      </c>
      <c r="AU12" s="7">
        <f t="shared" si="1"/>
        <v>322512.75</v>
      </c>
      <c r="AV12" s="7">
        <f t="shared" si="2"/>
        <v>5.94</v>
      </c>
      <c r="AW12" s="7">
        <f t="shared" si="3"/>
        <v>33.51248137</v>
      </c>
      <c r="AX12" s="7">
        <f t="shared" si="4"/>
        <v>80952.75</v>
      </c>
      <c r="AY12" s="7">
        <f t="shared" si="5"/>
        <v>80084</v>
      </c>
    </row>
    <row r="13">
      <c r="A13" s="1" t="s">
        <v>99</v>
      </c>
      <c r="B13" s="1">
        <v>7.5609393E7</v>
      </c>
      <c r="D13" s="1">
        <v>188717.0</v>
      </c>
      <c r="E13" s="1">
        <v>298798.0</v>
      </c>
      <c r="F13" s="1">
        <v>2585.16</v>
      </c>
      <c r="G13" s="1">
        <v>51.05</v>
      </c>
      <c r="H13" s="1">
        <v>279.0</v>
      </c>
      <c r="I13" s="1">
        <v>5.0</v>
      </c>
      <c r="J13" s="1">
        <v>5.0</v>
      </c>
      <c r="K13" s="1">
        <v>16.0</v>
      </c>
      <c r="L13" s="1" t="b">
        <v>0</v>
      </c>
      <c r="M13" s="1" t="b">
        <v>0</v>
      </c>
      <c r="N13" s="1" t="b">
        <v>1</v>
      </c>
      <c r="O13" s="1" t="b">
        <v>1</v>
      </c>
      <c r="P13" s="1" t="b">
        <v>1</v>
      </c>
      <c r="Q13" s="1" t="b">
        <v>0</v>
      </c>
      <c r="R13" s="1" t="b">
        <v>0</v>
      </c>
      <c r="S13" s="1" t="s">
        <v>52</v>
      </c>
      <c r="T13" s="1" t="s">
        <v>53</v>
      </c>
      <c r="U13" s="1" t="s">
        <v>54</v>
      </c>
      <c r="V13" s="1">
        <v>5.0</v>
      </c>
      <c r="W13" s="1">
        <v>73.0</v>
      </c>
      <c r="X13" s="1">
        <v>5.0</v>
      </c>
      <c r="Y13" s="1">
        <v>1.0</v>
      </c>
      <c r="Z13" s="1" t="s">
        <v>55</v>
      </c>
      <c r="AA13" s="1" t="b">
        <v>0</v>
      </c>
      <c r="AB13" s="1">
        <v>549.0</v>
      </c>
      <c r="AC13" s="1" t="b">
        <v>0</v>
      </c>
      <c r="AD13" s="1">
        <v>73.0</v>
      </c>
      <c r="AE13" s="1">
        <v>11.0</v>
      </c>
      <c r="AF13" s="4">
        <v>46155.0</v>
      </c>
      <c r="AG13" s="1" t="s">
        <v>56</v>
      </c>
      <c r="AH13" s="1" t="s">
        <v>56</v>
      </c>
      <c r="AI13" s="1" t="s">
        <v>56</v>
      </c>
      <c r="AJ13" s="1" t="s">
        <v>57</v>
      </c>
      <c r="AK13" s="1">
        <v>81225.0</v>
      </c>
      <c r="AL13" s="1" t="s">
        <v>58</v>
      </c>
      <c r="AM13" s="1" t="s">
        <v>59</v>
      </c>
      <c r="AN13" s="5" t="s">
        <v>100</v>
      </c>
      <c r="AO13" s="5" t="s">
        <v>101</v>
      </c>
      <c r="AP13" s="1">
        <v>1.3345306E7</v>
      </c>
      <c r="AQ13" s="1">
        <v>141114.0</v>
      </c>
      <c r="AR13" s="1">
        <v>38.91563</v>
      </c>
      <c r="AS13" s="1">
        <v>-106.95615</v>
      </c>
      <c r="AT13" s="6">
        <v>45.0</v>
      </c>
      <c r="AU13" s="7">
        <f t="shared" si="1"/>
        <v>322512.75</v>
      </c>
      <c r="AV13" s="7">
        <f t="shared" si="2"/>
        <v>6.05</v>
      </c>
      <c r="AW13" s="7">
        <f t="shared" si="3"/>
        <v>70.8975609</v>
      </c>
      <c r="AX13" s="7">
        <f t="shared" si="4"/>
        <v>133795.75</v>
      </c>
      <c r="AY13" s="7">
        <f t="shared" si="5"/>
        <v>110081</v>
      </c>
    </row>
    <row r="14">
      <c r="A14" s="1" t="s">
        <v>102</v>
      </c>
      <c r="B14" s="1">
        <v>6979014.0</v>
      </c>
      <c r="D14" s="1">
        <v>382909.0</v>
      </c>
      <c r="E14" s="1">
        <v>514945.0</v>
      </c>
      <c r="F14" s="1">
        <v>3681.82</v>
      </c>
      <c r="G14" s="1">
        <v>51.23</v>
      </c>
      <c r="H14" s="1">
        <v>297.0</v>
      </c>
      <c r="I14" s="1">
        <v>8.0</v>
      </c>
      <c r="J14" s="1">
        <v>8.0</v>
      </c>
      <c r="K14" s="1">
        <v>16.0</v>
      </c>
      <c r="L14" s="1" t="b">
        <v>0</v>
      </c>
      <c r="M14" s="1" t="b">
        <v>1</v>
      </c>
      <c r="N14" s="1" t="b">
        <v>1</v>
      </c>
      <c r="O14" s="1" t="b">
        <v>1</v>
      </c>
      <c r="P14" s="1" t="b">
        <v>1</v>
      </c>
      <c r="Q14" s="1" t="b">
        <v>1</v>
      </c>
      <c r="R14" s="1" t="b">
        <v>0</v>
      </c>
      <c r="S14" s="1" t="s">
        <v>52</v>
      </c>
      <c r="T14" s="1" t="s">
        <v>53</v>
      </c>
      <c r="U14" s="1" t="s">
        <v>54</v>
      </c>
      <c r="V14" s="1">
        <v>5.0</v>
      </c>
      <c r="W14" s="1">
        <v>6.0</v>
      </c>
      <c r="X14" s="1">
        <v>5.0</v>
      </c>
      <c r="Y14" s="3">
        <v>46058.0</v>
      </c>
      <c r="Z14" s="1" t="s">
        <v>55</v>
      </c>
      <c r="AA14" s="1" t="b">
        <v>0</v>
      </c>
      <c r="AB14" s="1">
        <v>998.0</v>
      </c>
      <c r="AC14" s="1" t="b">
        <v>0</v>
      </c>
      <c r="AD14" s="1">
        <v>104.0</v>
      </c>
      <c r="AE14" s="1">
        <v>17.0</v>
      </c>
      <c r="AF14" s="4">
        <v>46155.0</v>
      </c>
      <c r="AG14" s="1" t="s">
        <v>56</v>
      </c>
      <c r="AH14" s="1" t="s">
        <v>56</v>
      </c>
      <c r="AI14" s="1" t="s">
        <v>56</v>
      </c>
      <c r="AJ14" s="1" t="s">
        <v>57</v>
      </c>
      <c r="AK14" s="1">
        <v>81224.0</v>
      </c>
      <c r="AL14" s="1" t="s">
        <v>58</v>
      </c>
      <c r="AM14" s="1" t="s">
        <v>59</v>
      </c>
      <c r="AN14" s="5" t="s">
        <v>103</v>
      </c>
      <c r="AO14" s="5" t="s">
        <v>104</v>
      </c>
      <c r="AP14" s="1">
        <v>5.3901371E7</v>
      </c>
      <c r="AR14" s="1">
        <v>38.86482</v>
      </c>
      <c r="AS14" s="1">
        <v>-106.98934</v>
      </c>
      <c r="AT14" s="6">
        <v>45.0</v>
      </c>
      <c r="AU14" s="7">
        <f t="shared" si="1"/>
        <v>322512.75</v>
      </c>
      <c r="AV14" s="7">
        <f t="shared" si="2"/>
        <v>6.23</v>
      </c>
      <c r="AW14" s="7">
        <f t="shared" si="3"/>
        <v>-15.77300351</v>
      </c>
      <c r="AX14" s="7">
        <f t="shared" si="4"/>
        <v>-60396.25</v>
      </c>
      <c r="AY14" s="7">
        <f t="shared" si="5"/>
        <v>132036</v>
      </c>
    </row>
    <row r="15">
      <c r="A15" s="1" t="s">
        <v>105</v>
      </c>
      <c r="B15" s="1">
        <v>9.2362095E7</v>
      </c>
      <c r="D15" s="1">
        <v>212657.0</v>
      </c>
      <c r="E15" s="1">
        <v>234549.0</v>
      </c>
      <c r="F15" s="1">
        <v>1772.14</v>
      </c>
      <c r="G15" s="1">
        <v>53.57</v>
      </c>
      <c r="H15" s="1">
        <v>349.0</v>
      </c>
      <c r="I15" s="1">
        <v>5.0</v>
      </c>
      <c r="J15" s="1">
        <v>3.0</v>
      </c>
      <c r="K15" s="1">
        <v>12.0</v>
      </c>
      <c r="L15" s="1" t="b">
        <v>0</v>
      </c>
      <c r="M15" s="1" t="b">
        <v>0</v>
      </c>
      <c r="N15" s="1" t="b">
        <v>1</v>
      </c>
      <c r="O15" s="1" t="b">
        <v>1</v>
      </c>
      <c r="P15" s="1" t="b">
        <v>1</v>
      </c>
      <c r="Q15" s="1" t="b">
        <v>0</v>
      </c>
      <c r="R15" s="1" t="b">
        <v>0</v>
      </c>
      <c r="S15" s="1" t="s">
        <v>52</v>
      </c>
      <c r="T15" s="1" t="s">
        <v>106</v>
      </c>
      <c r="U15" s="1" t="s">
        <v>54</v>
      </c>
      <c r="V15" s="1">
        <v>4.95</v>
      </c>
      <c r="W15" s="1">
        <v>52.0</v>
      </c>
      <c r="X15" s="1">
        <v>5.0</v>
      </c>
      <c r="Y15" s="1">
        <v>1.0</v>
      </c>
      <c r="Z15" s="1" t="s">
        <v>55</v>
      </c>
      <c r="AA15" s="1" t="b">
        <v>0</v>
      </c>
      <c r="AB15" s="1">
        <v>500.0</v>
      </c>
      <c r="AC15" s="1" t="b">
        <v>0</v>
      </c>
      <c r="AD15" s="1">
        <v>120.0</v>
      </c>
      <c r="AE15" s="1">
        <v>18.0</v>
      </c>
      <c r="AF15" s="4">
        <v>46155.0</v>
      </c>
      <c r="AG15" s="1" t="s">
        <v>56</v>
      </c>
      <c r="AH15" s="1" t="s">
        <v>56</v>
      </c>
      <c r="AI15" s="1" t="s">
        <v>56</v>
      </c>
      <c r="AJ15" s="1" t="s">
        <v>57</v>
      </c>
      <c r="AK15" s="1">
        <v>81225.0</v>
      </c>
      <c r="AL15" s="1" t="s">
        <v>58</v>
      </c>
      <c r="AM15" s="1" t="s">
        <v>59</v>
      </c>
      <c r="AN15" s="5" t="s">
        <v>107</v>
      </c>
      <c r="AO15" s="5" t="s">
        <v>108</v>
      </c>
      <c r="AP15" s="1">
        <v>3.1448523E7</v>
      </c>
      <c r="AQ15" s="1">
        <v>1601637.0</v>
      </c>
      <c r="AR15" s="1">
        <v>38.89546</v>
      </c>
      <c r="AS15" s="1">
        <v>-106.96793</v>
      </c>
      <c r="AT15" s="6">
        <v>45.0</v>
      </c>
      <c r="AU15" s="7">
        <f t="shared" si="1"/>
        <v>322512.75</v>
      </c>
      <c r="AV15" s="7">
        <f t="shared" si="2"/>
        <v>8.57</v>
      </c>
      <c r="AW15" s="7">
        <f t="shared" si="3"/>
        <v>51.6586569</v>
      </c>
      <c r="AX15" s="7">
        <f t="shared" si="4"/>
        <v>109855.75</v>
      </c>
      <c r="AY15" s="7">
        <f t="shared" si="5"/>
        <v>21892</v>
      </c>
    </row>
    <row r="16">
      <c r="A16" s="1" t="s">
        <v>109</v>
      </c>
      <c r="B16" s="1">
        <v>6.4660831E7</v>
      </c>
      <c r="D16" s="1">
        <v>228993.0</v>
      </c>
      <c r="E16" s="1">
        <v>256063.0</v>
      </c>
      <c r="F16" s="1">
        <v>1974.08</v>
      </c>
      <c r="G16" s="1">
        <v>58.0</v>
      </c>
      <c r="H16" s="1">
        <v>351.0</v>
      </c>
      <c r="I16" s="1">
        <v>5.0</v>
      </c>
      <c r="J16" s="1">
        <v>3.0</v>
      </c>
      <c r="K16" s="1">
        <v>12.0</v>
      </c>
      <c r="L16" s="1" t="b">
        <v>0</v>
      </c>
      <c r="M16" s="1" t="b">
        <v>0</v>
      </c>
      <c r="N16" s="1" t="b">
        <v>1</v>
      </c>
      <c r="O16" s="1" t="b">
        <v>1</v>
      </c>
      <c r="P16" s="1" t="b">
        <v>1</v>
      </c>
      <c r="Q16" s="1" t="b">
        <v>1</v>
      </c>
      <c r="R16" s="1" t="b">
        <v>0</v>
      </c>
      <c r="S16" s="1" t="s">
        <v>52</v>
      </c>
      <c r="T16" s="1" t="s">
        <v>53</v>
      </c>
      <c r="U16" s="1" t="s">
        <v>54</v>
      </c>
      <c r="V16" s="1">
        <v>5.0</v>
      </c>
      <c r="W16" s="1">
        <v>21.0</v>
      </c>
      <c r="X16" s="1">
        <v>7.0</v>
      </c>
      <c r="Y16" s="1">
        <v>1.0</v>
      </c>
      <c r="Z16" s="1" t="s">
        <v>55</v>
      </c>
      <c r="AA16" s="1" t="b">
        <v>0</v>
      </c>
      <c r="AB16" s="1">
        <v>349.0</v>
      </c>
      <c r="AC16" s="1" t="b">
        <v>0</v>
      </c>
      <c r="AD16" s="1">
        <v>116.0</v>
      </c>
      <c r="AE16" s="1">
        <v>7.0</v>
      </c>
      <c r="AF16" s="4">
        <v>46159.0</v>
      </c>
      <c r="AG16" s="1" t="s">
        <v>56</v>
      </c>
      <c r="AH16" s="1" t="s">
        <v>56</v>
      </c>
      <c r="AI16" s="1" t="s">
        <v>56</v>
      </c>
      <c r="AJ16" s="1" t="s">
        <v>57</v>
      </c>
      <c r="AK16" s="1">
        <v>81224.0</v>
      </c>
      <c r="AL16" s="1" t="s">
        <v>58</v>
      </c>
      <c r="AM16" s="1" t="s">
        <v>59</v>
      </c>
      <c r="AN16" s="5" t="s">
        <v>110</v>
      </c>
      <c r="AO16" s="5" t="s">
        <v>111</v>
      </c>
      <c r="AP16" s="1">
        <v>4.2246868E7</v>
      </c>
      <c r="AQ16" s="1" t="s">
        <v>112</v>
      </c>
      <c r="AR16" s="1">
        <v>38.87242</v>
      </c>
      <c r="AS16" s="1">
        <v>-106.99051</v>
      </c>
      <c r="AT16" s="6">
        <v>45.0</v>
      </c>
      <c r="AU16" s="7">
        <f t="shared" si="1"/>
        <v>322512.75</v>
      </c>
      <c r="AV16" s="7">
        <f t="shared" si="2"/>
        <v>13</v>
      </c>
      <c r="AW16" s="7">
        <f t="shared" si="3"/>
        <v>40.83956715</v>
      </c>
      <c r="AX16" s="7">
        <f t="shared" si="4"/>
        <v>93519.75</v>
      </c>
      <c r="AY16" s="7">
        <f t="shared" si="5"/>
        <v>27070</v>
      </c>
    </row>
    <row r="17">
      <c r="A17" s="1" t="s">
        <v>113</v>
      </c>
      <c r="B17" s="1" t="s">
        <v>74</v>
      </c>
      <c r="D17" s="1">
        <v>1486515.0</v>
      </c>
      <c r="E17" s="1">
        <v>1792651.0</v>
      </c>
      <c r="F17" s="1">
        <v>7662.45</v>
      </c>
      <c r="G17" s="1">
        <v>63.82</v>
      </c>
      <c r="H17" s="1">
        <v>305.0</v>
      </c>
      <c r="I17" s="1">
        <v>10.0</v>
      </c>
      <c r="J17" s="1">
        <v>20.0</v>
      </c>
      <c r="K17" s="1">
        <v>16.0</v>
      </c>
      <c r="L17" s="1" t="b">
        <v>0</v>
      </c>
      <c r="M17" s="1" t="b">
        <v>0</v>
      </c>
      <c r="N17" s="1" t="b">
        <v>1</v>
      </c>
      <c r="O17" s="1" t="b">
        <v>1</v>
      </c>
      <c r="P17" s="1" t="b">
        <v>1</v>
      </c>
      <c r="Q17" s="1" t="b">
        <v>1</v>
      </c>
      <c r="R17" s="1" t="b">
        <v>0</v>
      </c>
      <c r="S17" s="1" t="s">
        <v>52</v>
      </c>
      <c r="T17" s="1" t="s">
        <v>53</v>
      </c>
      <c r="U17" s="1" t="s">
        <v>54</v>
      </c>
      <c r="V17" s="1">
        <v>0.0</v>
      </c>
      <c r="W17" s="1">
        <v>0.0</v>
      </c>
      <c r="X17" s="1">
        <v>1.0</v>
      </c>
      <c r="Y17" s="3">
        <v>46193.0</v>
      </c>
      <c r="Z17" s="1" t="s">
        <v>55</v>
      </c>
      <c r="AA17" s="1" t="b">
        <v>0</v>
      </c>
      <c r="AB17" s="1">
        <v>0.0</v>
      </c>
      <c r="AC17" s="1" t="b">
        <v>1</v>
      </c>
      <c r="AD17" s="1">
        <v>194.0</v>
      </c>
      <c r="AE17" s="1">
        <v>38.0</v>
      </c>
      <c r="AF17" s="4">
        <v>46045.0</v>
      </c>
      <c r="AG17" s="1" t="s">
        <v>56</v>
      </c>
      <c r="AH17" s="1" t="s">
        <v>56</v>
      </c>
      <c r="AI17" s="1" t="s">
        <v>56</v>
      </c>
      <c r="AJ17" s="1" t="s">
        <v>57</v>
      </c>
      <c r="AK17" s="1">
        <v>81224.0</v>
      </c>
      <c r="AL17" s="1" t="s">
        <v>58</v>
      </c>
      <c r="AM17" s="1" t="s">
        <v>59</v>
      </c>
      <c r="AN17" s="5" t="s">
        <v>114</v>
      </c>
      <c r="AO17" s="5" t="s">
        <v>115</v>
      </c>
      <c r="AP17" s="1" t="s">
        <v>116</v>
      </c>
      <c r="AQ17" s="1">
        <v>3759204.0</v>
      </c>
      <c r="AR17" s="1">
        <v>38.8686</v>
      </c>
      <c r="AS17" s="1">
        <v>-106.9824</v>
      </c>
      <c r="AT17" s="6">
        <v>45.0</v>
      </c>
      <c r="AU17" s="7">
        <f t="shared" si="1"/>
        <v>322512.75</v>
      </c>
      <c r="AV17" s="7">
        <f t="shared" si="2"/>
        <v>18.82</v>
      </c>
      <c r="AW17" s="7">
        <f t="shared" si="3"/>
        <v>-78.30410389</v>
      </c>
      <c r="AX17" s="7">
        <f t="shared" si="4"/>
        <v>-1164002.25</v>
      </c>
      <c r="AY17" s="7">
        <f t="shared" si="5"/>
        <v>306136</v>
      </c>
    </row>
    <row r="18">
      <c r="D18" s="7">
        <f>AVERAGE(D2:D17)</f>
        <v>322512.75</v>
      </c>
      <c r="G18" s="7">
        <f>AVERAGE(G2:G17)</f>
        <v>45.421875</v>
      </c>
    </row>
  </sheetData>
  <autoFilter ref="$A$1:$AZ$19">
    <sortState ref="A1:AZ19">
      <sortCondition ref="AV1:AV19"/>
      <sortCondition ref="I1:I19"/>
      <sortCondition ref="AE1:AE19"/>
      <sortCondition ref="H1:H19"/>
      <sortCondition ref="D1:D19"/>
      <sortCondition ref="G1:G19"/>
    </sortState>
  </autoFilter>
  <hyperlinks>
    <hyperlink r:id="rId1" ref="AN2"/>
    <hyperlink r:id="rId2" ref="AO2"/>
    <hyperlink r:id="rId3" ref="AN3"/>
    <hyperlink r:id="rId4" ref="AO3"/>
    <hyperlink r:id="rId5" ref="AN4"/>
    <hyperlink r:id="rId6" ref="AO4"/>
    <hyperlink r:id="rId7" ref="AN5"/>
    <hyperlink r:id="rId8" ref="AO5"/>
    <hyperlink r:id="rId9" ref="AN6"/>
    <hyperlink r:id="rId10" ref="AO6"/>
    <hyperlink r:id="rId11" ref="AN7"/>
    <hyperlink r:id="rId12" ref="AO7"/>
    <hyperlink r:id="rId13" ref="AN8"/>
    <hyperlink r:id="rId14" ref="AO8"/>
    <hyperlink r:id="rId15" ref="AN9"/>
    <hyperlink r:id="rId16" ref="AO9"/>
    <hyperlink r:id="rId17" ref="AN10"/>
    <hyperlink r:id="rId18" ref="AO10"/>
    <hyperlink r:id="rId19" ref="AN11"/>
    <hyperlink r:id="rId20" ref="AO11"/>
    <hyperlink r:id="rId21" ref="AN12"/>
    <hyperlink r:id="rId22" ref="AO12"/>
    <hyperlink r:id="rId23" ref="AN13"/>
    <hyperlink r:id="rId24" ref="AO13"/>
    <hyperlink r:id="rId25" ref="AN14"/>
    <hyperlink r:id="rId26" ref="AO14"/>
    <hyperlink r:id="rId27" ref="AN15"/>
    <hyperlink r:id="rId28" ref="AO15"/>
    <hyperlink r:id="rId29" ref="AN16"/>
    <hyperlink r:id="rId30" ref="AO16"/>
    <hyperlink r:id="rId31" ref="AN17"/>
    <hyperlink r:id="rId32" ref="AO17"/>
  </hyperlinks>
  <drawing r:id="rId33"/>
</worksheet>
</file>