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0 Units (Multiple States)" sheetId="1" r:id="rId5"/>
  </sheets>
  <definedNames/>
  <calcPr/>
</workbook>
</file>

<file path=xl/sharedStrings.xml><?xml version="1.0" encoding="utf-8"?>
<sst xmlns="http://schemas.openxmlformats.org/spreadsheetml/2006/main" count="1718" uniqueCount="503">
  <si>
    <t>Title</t>
  </si>
  <si>
    <t>Property Manager/Host</t>
  </si>
  <si>
    <t>Contact</t>
  </si>
  <si>
    <t>Revenue</t>
  </si>
  <si>
    <t>Revenue Potential</t>
  </si>
  <si>
    <t>ADR</t>
  </si>
  <si>
    <t>Occupancy</t>
  </si>
  <si>
    <t>Days Available</t>
  </si>
  <si>
    <t>Bedrooms</t>
  </si>
  <si>
    <t>Bathrooms</t>
  </si>
  <si>
    <t>Accommodates</t>
  </si>
  <si>
    <t>Has Air Conditioning</t>
  </si>
  <si>
    <t>Has Gym</t>
  </si>
  <si>
    <t>Has Hot Tub</t>
  </si>
  <si>
    <t>Has Kitchen</t>
  </si>
  <si>
    <t>Has Parking</t>
  </si>
  <si>
    <t>Has Pets</t>
  </si>
  <si>
    <t>Has Pool</t>
  </si>
  <si>
    <t>Listing Type</t>
  </si>
  <si>
    <t>Property Type</t>
  </si>
  <si>
    <t>Real Estate Type</t>
  </si>
  <si>
    <t>Overall Rating</t>
  </si>
  <si>
    <t>Number of Reviews</t>
  </si>
  <si>
    <t>Minimum Stay</t>
  </si>
  <si>
    <t>Host Unit Count</t>
  </si>
  <si>
    <t>Price Tier</t>
  </si>
  <si>
    <t>Airbnb Superhost</t>
  </si>
  <si>
    <t>Cleaning Fee</t>
  </si>
  <si>
    <t>Instant Book</t>
  </si>
  <si>
    <t>Reserved Days</t>
  </si>
  <si>
    <t>Number of Bookings</t>
  </si>
  <si>
    <t>Last Update</t>
  </si>
  <si>
    <t>AirDNA Market</t>
  </si>
  <si>
    <t>AirDNA Subarket</t>
  </si>
  <si>
    <t>City</t>
  </si>
  <si>
    <t>State</t>
  </si>
  <si>
    <t>Zipcode</t>
  </si>
  <si>
    <t>Country</t>
  </si>
  <si>
    <t>Location Type</t>
  </si>
  <si>
    <t>Listing URL</t>
  </si>
  <si>
    <t>Main Listing Image</t>
  </si>
  <si>
    <t>Airbnb Property ID</t>
  </si>
  <si>
    <t>Vrbo Property ID</t>
  </si>
  <si>
    <t>Latitude</t>
  </si>
  <si>
    <t>Longitude</t>
  </si>
  <si>
    <t>Market Average Occupancy</t>
  </si>
  <si>
    <t>Market Average Revenue</t>
  </si>
  <si>
    <t>Occupancy Gap</t>
  </si>
  <si>
    <t>Revenue % Gap</t>
  </si>
  <si>
    <t>Revenue $ Gap</t>
  </si>
  <si>
    <t>Revenue Potential Gap</t>
  </si>
  <si>
    <t>Property ID</t>
  </si>
  <si>
    <t>Property name</t>
  </si>
  <si>
    <t>Phone</t>
  </si>
  <si>
    <t>Phone source</t>
  </si>
  <si>
    <t>Phone confidence</t>
  </si>
  <si>
    <t>Phone evidence</t>
  </si>
  <si>
    <t>Phone belongs to</t>
  </si>
  <si>
    <t>Website</t>
  </si>
  <si>
    <t>Email</t>
  </si>
  <si>
    <t>Social media link</t>
  </si>
  <si>
    <t>Social media type</t>
  </si>
  <si>
    <t>Private pool Sleeps 18. 2min walk to beach. Free beach set ups plenty of Beach!</t>
  </si>
  <si>
    <t>Home/Apartment</t>
  </si>
  <si>
    <t>House</t>
  </si>
  <si>
    <t>House/villa</t>
  </si>
  <si>
    <t>Luxury</t>
  </si>
  <si>
    <t>Santa Rosa/Rosemary Beach</t>
  </si>
  <si>
    <t>Rosemary Beach / 30a</t>
  </si>
  <si>
    <t>Rosemary Beach</t>
  </si>
  <si>
    <t>Florida</t>
  </si>
  <si>
    <t>United States</t>
  </si>
  <si>
    <t>coastal</t>
  </si>
  <si>
    <t>https://www.vrbo.com/168400</t>
  </si>
  <si>
    <t>https://media.vrbo.com/lodging/34000000/33400000/33394100/33394059/13c9c279.jpg?impolicy=resizecrop&amp;rw=1200&amp;ra=fit</t>
  </si>
  <si>
    <t xml:space="preserve">Private beach, heated pool, game room, tiki bar, parking for up to 18 vehicles! </t>
  </si>
  <si>
    <t>Miramar Beach</t>
  </si>
  <si>
    <t>https://www.vrbo.com/429585</t>
  </si>
  <si>
    <t>https://media.vrbo.com/lodging/35000000/34120000/34113000/34112997/bd06d3f6_edited_ddb0.jpg?impolicy=resizecrop&amp;rw=1200&amp;ra=fit</t>
  </si>
  <si>
    <t>Private beach, heated pool, game room, tiki bar, parking for up to 18 vehicles!</t>
  </si>
  <si>
    <t>SeaOatsCaptivaIsland: Private Waterfront Estate, Beach, Pool, Dock &amp; Pickleball</t>
  </si>
  <si>
    <t>Cape Coral/Fort Myers</t>
  </si>
  <si>
    <t>Captiva</t>
  </si>
  <si>
    <t>https://www.vrbo.com/475504</t>
  </si>
  <si>
    <t>https://media.vrbo.com/lodging/35000000/34400000/34391700/34391662/65880137.jpg?impolicy=resizecrop&amp;rw=1200&amp;ra=fit</t>
  </si>
  <si>
    <t>BEACHFRONT, HEATED POOL, KAYAKS/SUP, LANAI W/ GULF VIEWS, 85' DOCK, 2 GOLF CARTS</t>
  </si>
  <si>
    <t>https://www.vrbo.com/758594</t>
  </si>
  <si>
    <t>https://media.vrbo.com/lodging/33000000/32430000/32420100/32420023/c33dd0db.jpg?impolicy=resizecrop&amp;rw=1200&amp;ra=fit</t>
  </si>
  <si>
    <t>Large Luxury Near Beach Home On Captiva in the Village. Great for Groups!</t>
  </si>
  <si>
    <t>https://www.vrbo.com/772868</t>
  </si>
  <si>
    <t>https://media.vrbo.com/lodging/34000000/33940000/33933300/33933250/12c87f22.jpg?impolicy=resizecrop&amp;rw=1200&amp;ra=fit</t>
  </si>
  <si>
    <t>Delightful Sea Island Beach Cottage, Private Pool, Hot Tub &amp; Steps from Beach</t>
  </si>
  <si>
    <t>Amelia/St. Simons/Jekyll Islands</t>
  </si>
  <si>
    <t>Saint Simons Island</t>
  </si>
  <si>
    <t>Sea Island</t>
  </si>
  <si>
    <t>Georgia</t>
  </si>
  <si>
    <t>https://www.vrbo.com/1091049</t>
  </si>
  <si>
    <t>https://media.vrbo.com/lodging/35000000/34120000/34112700/34112627/06968fb5.jpg?impolicy=resizecrop&amp;rw=1200&amp;ra=fit</t>
  </si>
  <si>
    <t>Ultimate Beach House that Sleeps 20 with Amazing Gulf Views! Private 50' Pool!!!</t>
  </si>
  <si>
    <t>https://www.vrbo.com/1465539</t>
  </si>
  <si>
    <t>https://media.vrbo.com/lodging/35000000/34210000/34201400/34201309/8fb51b98.jpg?impolicy=resizecrop&amp;rw=1200&amp;ra=fit</t>
  </si>
  <si>
    <t>No Regrets ~ Luxury at the Beach ~ pool &amp; spa ~ 6 bedrooms &amp; 5 full bathrooms ~</t>
  </si>
  <si>
    <t>Galveston</t>
  </si>
  <si>
    <t>Port Bolivar</t>
  </si>
  <si>
    <t>Texas</t>
  </si>
  <si>
    <t>https://www.vrbo.com/1802763</t>
  </si>
  <si>
    <t>https://media.vrbo.com/lodging/43000000/42380000/42378600/42378531/36817735.jpg?impolicy=resizecrop&amp;rw=1200&amp;ra=fit</t>
  </si>
  <si>
    <t>New~ 6 Bedroom 5 bath ~ Pool and Spa ~ Beach Views~ Direct Beach Access</t>
  </si>
  <si>
    <t>https://www.vrbo.com/1962198</t>
  </si>
  <si>
    <t>https://media.vrbo.com/lodging/52000000/51670000/51661000/51660915/0be61eb4.jpg?impolicy=resizecrop&amp;rw=1200&amp;ra=fit</t>
  </si>
  <si>
    <t>Breathtaking Pointe West Beachfront Luxurious Home with Elevator</t>
  </si>
  <si>
    <t>https://www.vrbo.com/2089225</t>
  </si>
  <si>
    <t>https://media.vrbo.com/lodging/60000000/59200000/59197700/59197674/89eb475c.jpg?impolicy=resizecrop&amp;rw=1200&amp;ra=fit</t>
  </si>
  <si>
    <t>ANDY ROSSE LUXURY VILLA - WALK TO BEACH, SHOPS &amp; RESTAURANTS</t>
  </si>
  <si>
    <t>https://www.vrbo.com/2261142</t>
  </si>
  <si>
    <t>https://media.vrbo.com/lodging/67000000/66400000/66390600/66390525/6db3904f.jpg?impolicy=resizecrop&amp;rw=1200&amp;ra=fit</t>
  </si>
  <si>
    <t>Waterfront Sea Oats - Luxe 11 bedroom - Book Now!</t>
  </si>
  <si>
    <t>Villa</t>
  </si>
  <si>
    <t>https://www.airbnb.com/rooms/2401153</t>
  </si>
  <si>
    <t>https://a0.muscache.com/im/pictures/miso/Hosting-2401153/original/f4813b5b-333b-4494-af01-ec89a96f47fe.jpeg</t>
  </si>
  <si>
    <t>Sea Dreams~ New Beachfront~ 5 bedroom/5 bathroom~ Pool &amp; Spa</t>
  </si>
  <si>
    <t>https://www.vrbo.com/2452610</t>
  </si>
  <si>
    <t>https://media.vrbo.com/lodging/71000000/70940000/70939600/70939532/86e91f56.jpg?impolicy=resizecrop&amp;rw=1200&amp;ra=fit</t>
  </si>
  <si>
    <t>BEAUTY AND THE BEACH- BEACHFRONT MANSION, HEATED POOL</t>
  </si>
  <si>
    <t>https://www.vrbo.com/2845710</t>
  </si>
  <si>
    <t>https://media.vrbo.com/lodging/80000000/79290000/79280300/79280271/eacaecb7.jpg?impolicy=resizecrop&amp;rw=1200&amp;ra=fit</t>
  </si>
  <si>
    <t>So Fresh and So Green South of 30A Private Beach Access Heated Pool Elevator</t>
  </si>
  <si>
    <t>Bespoke Management</t>
  </si>
  <si>
    <t>https://www.vrbo.com/3721697</t>
  </si>
  <si>
    <t>https://media.vrbo.com/lodging/101000000/100530000/100525400/100525329/68234211.jpg?impolicy=resizecrop&amp;rw=1200&amp;ra=fit</t>
  </si>
  <si>
    <t>Rosemary Beach Home and Carriage House Sleeps 16 with private pool and courtyard</t>
  </si>
  <si>
    <t>https://www.vrbo.com/4069757</t>
  </si>
  <si>
    <t>https://media.vrbo.com/lodging/107000000/106400000/106392200/106392150/fba527f2.jpg?impolicy=resizecrop&amp;rw=1200&amp;ra=fit</t>
  </si>
  <si>
    <t>Crown of 30A! Pool+Golf Cart+Bikes, 1Min to Beach</t>
  </si>
  <si>
    <t>Santa Rosa Beach</t>
  </si>
  <si>
    <t>https://www.vrbo.com/4121224</t>
  </si>
  <si>
    <t>https://media.vrbo.com/lodging/108000000/107280000/107277400/107277362/96313a91.jpg?impolicy=resizecrop&amp;rw=1200&amp;ra=fit</t>
  </si>
  <si>
    <t>2 Beachfront Homes, 2 Heated Pools, 3 Hot Tubs, 2 Lifts, Pet Friendly, Sleeps 56</t>
  </si>
  <si>
    <t>Gilchrist</t>
  </si>
  <si>
    <t>https://www.vrbo.com/4816628</t>
  </si>
  <si>
    <t>https://media.vrbo.com/lodging/121000000/120380000/120378500/120378479/d4fbfb07.jpg?impolicy=resizecrop&amp;rw=1200&amp;ra=fit</t>
  </si>
  <si>
    <t>3 Beachfront Homes, 3 Heated Pools, 4 Hot Tubs, 3 Lifts, Pet Friendly, Sleeps 80</t>
  </si>
  <si>
    <t>https://www.vrbo.com/4821106</t>
  </si>
  <si>
    <t>https://media.vrbo.com/lodging/121000000/120440000/120438100/120438091/0bb55640.jpg?impolicy=resizecrop&amp;rw=1200&amp;ra=fit</t>
  </si>
  <si>
    <t>Best Location.Only2 blocks to Cloister&amp;Beach Club.</t>
  </si>
  <si>
    <t>https://www.airbnb.com/rooms/9307503</t>
  </si>
  <si>
    <t>https://a0.muscache.com/im/pictures/c792e92e-1159-4c37-b101-48f73b57404b.jpg</t>
  </si>
  <si>
    <t>DanielDunes-Gulf Views!Pool/StepstoBeach/Kayak/SUP</t>
  </si>
  <si>
    <t>https://www.airbnb.com/rooms/14570521</t>
  </si>
  <si>
    <t>https://a0.muscache.com/im/pictures/prohost-api/Hosting-14570521/original/e99e4ad7-84f4-4151-87f4-1e64bb1c2e6d.jpeg</t>
  </si>
  <si>
    <t>1 Min Walk Private Beach Pool Sleeps 27 Bikes Gate</t>
  </si>
  <si>
    <t>https://www.airbnb.com/rooms/17635126</t>
  </si>
  <si>
    <t>https://a0.muscache.com/im/pictures/hosting/Hosting-U3RheVN1cHBseUxpc3Rpbmc6MTc2MzUxMjY%3D/original/80d160f3-8afb-455c-a499-10913b1c7d81.jpeg</t>
  </si>
  <si>
    <t>Family and Friends</t>
  </si>
  <si>
    <t>Sanibel</t>
  </si>
  <si>
    <t>https://www.airbnb.com/rooms/19919793</t>
  </si>
  <si>
    <t>https://a0.muscache.com/im/pictures/miso/Hosting-19919793/original/bf88b320-4052-4da2-bc3d-f09a01691350.jpeg</t>
  </si>
  <si>
    <t>4656178ha</t>
  </si>
  <si>
    <t>Beachfront| Highest Rated House| Elevator| Hot Tub</t>
  </si>
  <si>
    <t>https://www.airbnb.com/rooms/31852877</t>
  </si>
  <si>
    <t>https://a0.muscache.com/im/pictures/6bb93eee-7307-4881-9cfb-00fc0c150e99.jpg</t>
  </si>
  <si>
    <t>9 Bedroom Luxury Pool Home Directly on the beach!</t>
  </si>
  <si>
    <t>https://www.airbnb.com/rooms/34993307</t>
  </si>
  <si>
    <t>https://a0.muscache.com/im/pictures/65609879-6f66-4a73-a024-6a404f642f8d.jpg</t>
  </si>
  <si>
    <t>Tropical Breeze Captiva''s Best Family Beach home</t>
  </si>
  <si>
    <t>https://www.airbnb.com/rooms/38670669</t>
  </si>
  <si>
    <t>https://a0.muscache.com/im/pictures/40821cff-10e3-48c9-841f-80f56235fd90.jpg?aki_policy=x_large</t>
  </si>
  <si>
    <t>309324ha</t>
  </si>
  <si>
    <t>Luxe Waterfront Retreat-2 Pools-Beach-Spa-Dockage</t>
  </si>
  <si>
    <t>Key West</t>
  </si>
  <si>
    <t>Marathon</t>
  </si>
  <si>
    <t>https://www.airbnb.com/rooms/39527229</t>
  </si>
  <si>
    <t>https://a0.muscache.com/im/pictures/prohost-api/Hosting-39527229/original/48361f0d-d3aa-44a0-9fb7-3a47498a5974.jpeg</t>
  </si>
  <si>
    <t>BRW Sleeps 16 with pool, hot tub &amp; private beach</t>
  </si>
  <si>
    <t>https://www.airbnb.com/rooms/39921927</t>
  </si>
  <si>
    <t>https://a0.muscache.com/im/pictures/fac9bb3b-aac2-4b6f-8aa6-044d24cd82d4.jpg?aki_policy=x_large</t>
  </si>
  <si>
    <t>Stunning &amp;Spacious Oceanfront Luxury Home•sleeps18</t>
  </si>
  <si>
    <t>https://www.airbnb.com/rooms/41881998</t>
  </si>
  <si>
    <t>https://a0.muscache.com/im/pictures/4918c68f-e7d6-4b07-b050-af5bd0e52e04.jpg</t>
  </si>
  <si>
    <t>Atlantis | Game Room | Pool &amp; Hot Tub | Weddings | Beach Views | Golf Cart</t>
  </si>
  <si>
    <t>850 Vacation Rentals by Portoro</t>
  </si>
  <si>
    <t>https://www.airbnb.com/rooms/42018927</t>
  </si>
  <si>
    <t>https://a0.muscache.com/im/pictures/9d77a368-03e1-4214-ae64-b0191d611cb3.jpg?aki_policy=x_large</t>
  </si>
  <si>
    <t>Sea Palms Estate on the Beaches of Captiva Island!</t>
  </si>
  <si>
    <t>https://www.airbnb.com/rooms/43497837</t>
  </si>
  <si>
    <t>https://a0.muscache.com/im/pictures/miso/Hosting-43497837/original/670c3351-4db5-49d6-b73f-f596349c56cb.jpeg</t>
  </si>
  <si>
    <t>The Park | Five Modern Homes w/ Swimming Pool</t>
  </si>
  <si>
    <t>https://www.airbnb.com/rooms/43958569</t>
  </si>
  <si>
    <t>https://a0.muscache.com/im/pictures/prohost-api/Hosting-43958569/original/360696c2-1a9c-435b-9558-7d90b70f8bd3.jpeg</t>
  </si>
  <si>
    <t>20141664ha</t>
  </si>
  <si>
    <t>Historic Old Town Key West Compound - Sleeps 20</t>
  </si>
  <si>
    <t>https://www.airbnb.com/rooms/45132967</t>
  </si>
  <si>
    <t>https://a0.muscache.com/im/pictures/miso/Hosting-45132967/original/7e869696-dbc2-48fb-a4b3-23f4ce3d748f.jpeg</t>
  </si>
  <si>
    <t>Beachfront! HotTub! Elevator! Gated community!L2EV</t>
  </si>
  <si>
    <t>https://www.airbnb.com/rooms/45547613</t>
  </si>
  <si>
    <t>https://a0.muscache.com/im/pictures/hosting/Hosting-U3RheVN1cHBseUxpc3Rpbmc6NDU1NDc2MTM=/original/cf341616-3908-483f-818e-db1ee2a254ab.jpeg</t>
  </si>
  <si>
    <t>Coastal Cabana. 7 Bedroom Beachfront Home</t>
  </si>
  <si>
    <t>https://www.airbnb.com/rooms/45984966</t>
  </si>
  <si>
    <t>https://a0.muscache.com/im/pictures/04fee1b2-0895-4da1-b55a-4d76d0e3a963.jpg</t>
  </si>
  <si>
    <t>Paradise Found~Beach front home with private Pool</t>
  </si>
  <si>
    <t>https://www.airbnb.com/rooms/47811148</t>
  </si>
  <si>
    <t>https://a0.muscache.com/im/pictures/4cd0b13d-fefc-4fb0-a079-e9ae8fdcbca2.jpg?aki_policy=x_large</t>
  </si>
  <si>
    <t>Siesta Key Oceanfront Palace with Private Beach</t>
  </si>
  <si>
    <t>Sarasota</t>
  </si>
  <si>
    <t>Siesta Key</t>
  </si>
  <si>
    <t>https://www.airbnb.com/rooms/48378411</t>
  </si>
  <si>
    <t>https://a0.muscache.com/im/pictures/b51c48b4-3a40-43b2-ad97-887cec1a5bf3.jpg</t>
  </si>
  <si>
    <t>BlueMarlin,Luxury Beachfront,WeddingVenue,Sleeps30</t>
  </si>
  <si>
    <t>https://www.airbnb.com/rooms/52010148</t>
  </si>
  <si>
    <t>https://a0.muscache.com/im/pictures/hosting/Hosting-52010148/original/976b013e-8f95-433d-9f33-a942ac4a0c1f.jpeg</t>
  </si>
  <si>
    <t>HotTub•EVcharger•Arcade•Coffee•BabyItems•TONS more</t>
  </si>
  <si>
    <t>https://www.airbnb.com/rooms/52989888</t>
  </si>
  <si>
    <t>https://a0.muscache.com/im/pictures/miso/Hosting-52989888/original/9034aecc-4439-4b06-926e-0cd66398fe31.jpeg</t>
  </si>
  <si>
    <t>Resort Like Paradise! 2024 Vacation Home Of The Yr</t>
  </si>
  <si>
    <t>https://www.airbnb.com/rooms/53938203</t>
  </si>
  <si>
    <t>https://a0.muscache.com/im/pictures/prohost-api/Hosting-53938203/original/d1ee5e4b-51ba-40b6-b624-55fd6a477db6.png</t>
  </si>
  <si>
    <t>Indoor/Outdoor POOL Waterfront Estate - Siesta Key</t>
  </si>
  <si>
    <t>https://www.airbnb.com/rooms/54389655</t>
  </si>
  <si>
    <t>https://a0.muscache.com/im/pictures/miso/Hosting-54389655/original/9159c19b-5dd3-41fe-a039-5602525b8ce9.jpeg</t>
  </si>
  <si>
    <t>Spectacular Beach House Private Pool &amp; Skydeck</t>
  </si>
  <si>
    <t>https://www.airbnb.com/rooms/555905368788364998</t>
  </si>
  <si>
    <t>https://a0.muscache.com/im/pictures/miso/Hosting-555905368788364998/original/996c23f8-fa67-4f84-b5da-8c6690900705.jpeg</t>
  </si>
  <si>
    <t>555905368788364998</t>
  </si>
  <si>
    <t>Luxurious Beach Front Coastal Dream</t>
  </si>
  <si>
    <t>https://www.airbnb.com/rooms/595602972006159776</t>
  </si>
  <si>
    <t>https://a0.muscache.com/im/pictures/miso/Hosting-595602972006159776/original/e4c1fe02-0f64-41b1-8c60-e811b803cb6e.jpeg</t>
  </si>
  <si>
    <t>595602972006159776</t>
  </si>
  <si>
    <t>Big Groups Welcome • Pool • Near Duval</t>
  </si>
  <si>
    <t>https://www.airbnb.com/rooms/620917079595687062</t>
  </si>
  <si>
    <t>https://a0.muscache.com/im/pictures/prohost-api/Hosting-620917079595687062/original/fceff200-3869-485a-bb77-539d4ae9c51d.jpeg</t>
  </si>
  <si>
    <t>620917079595687062</t>
  </si>
  <si>
    <t>Beachfront Luxury with Elevator/Bikes/Ping-Pong</t>
  </si>
  <si>
    <t>https://www.airbnb.com/rooms/641175771207855507</t>
  </si>
  <si>
    <t>https://a0.muscache.com/im/pictures/prohost-api/Hosting-641175771207855507/original/8572ea61-2750-4e42-b075-1c4ae010f37f.jpeg</t>
  </si>
  <si>
    <t>641175771207855507</t>
  </si>
  <si>
    <t>Tea Table Key Private Island  5 BR Oceanfront home</t>
  </si>
  <si>
    <t>Island Villa Rental Properties</t>
  </si>
  <si>
    <t>Islamorada</t>
  </si>
  <si>
    <t>https://www.airbnb.com/rooms/652029010838901807</t>
  </si>
  <si>
    <t>https://a0.muscache.com/im/pictures/miso/Hosting-652029010838901807/original/ebf35115-ca28-4362-b6d8-8c90e9c48c89.jpeg</t>
  </si>
  <si>
    <t>652029010838901807</t>
  </si>
  <si>
    <t>Island Beach House Oasis Your Memory Maker awaits</t>
  </si>
  <si>
    <t>https://www.airbnb.com/rooms/665868898027104148</t>
  </si>
  <si>
    <t>https://a0.muscache.com/im/pictures/prohost-api/Hosting-665868898027104148/original/45318440-8bec-45b5-81f2-38d08275cebe.jpeg</t>
  </si>
  <si>
    <t>665868898027104148</t>
  </si>
  <si>
    <t>Beach Front Luxury House with direct beach access</t>
  </si>
  <si>
    <t>https://www.airbnb.com/rooms/673013074080525394</t>
  </si>
  <si>
    <t>https://a0.muscache.com/im/pictures/prohost-api/Hosting-673013074080525394/original/abf50dc3-2727-4973-a361-ff4cb0413207.jpeg</t>
  </si>
  <si>
    <t>673013074080525394</t>
  </si>
  <si>
    <t>Big Bay Getaway / Sleeps 25+ waterfront Lakehouse</t>
  </si>
  <si>
    <t>Dickinson</t>
  </si>
  <si>
    <t>https://www.airbnb.com/rooms/699550848681796981</t>
  </si>
  <si>
    <t>https://a0.muscache.com/im/pictures/hosting/Hosting-699550848681796981/original/085dbea2-8b3a-4603-badb-aeb35a11bdba.jpeg</t>
  </si>
  <si>
    <t>699550848681796981</t>
  </si>
  <si>
    <t>2 Houses|Family Gatherings|Weddings|Ocean Views</t>
  </si>
  <si>
    <t>https://www.airbnb.com/rooms/700993890010540062</t>
  </si>
  <si>
    <t>https://a0.muscache.com/im/pictures/miso/Hosting-700993890010540062/original/87668b68-802c-44d3-a252-e68edc83452a.jpeg</t>
  </si>
  <si>
    <t>700993890010540062</t>
  </si>
  <si>
    <t>Brand New Luxury Beach Home</t>
  </si>
  <si>
    <t>Cottage</t>
  </si>
  <si>
    <t>https://www.airbnb.com/rooms/701569932332247135</t>
  </si>
  <si>
    <t>https://a0.muscache.com/im/pictures/e0611d0e-eed3-4e73-8b37-afe34752a2ba.jpg</t>
  </si>
  <si>
    <t>701569932332247135</t>
  </si>
  <si>
    <t>Family Beachfront Oasis ~ Great Ocean View ~ Pool</t>
  </si>
  <si>
    <t>Cape San Blas/St. George Island</t>
  </si>
  <si>
    <t>St. George Island</t>
  </si>
  <si>
    <t>Eastpoint</t>
  </si>
  <si>
    <t>https://www.airbnb.com/rooms/735489792163477795</t>
  </si>
  <si>
    <t>https://a0.muscache.com/im/pictures/prohost-api/Hosting-735489792163477795/original/372912d6-e7e0-4da7-b43c-b12007a55e75.jpeg</t>
  </si>
  <si>
    <t>735489792163477795</t>
  </si>
  <si>
    <t>Luxury Resort Beach House | Elevator, EV charger</t>
  </si>
  <si>
    <t>https://www.airbnb.com/rooms/754640601077328788</t>
  </si>
  <si>
    <t>https://a0.muscache.com/im/pictures/hosting/Hosting-754640601077328788/original/ae49dd97-08e5-4523-a8e7-f7b8cd20a58c.jpeg</t>
  </si>
  <si>
    <t>754640601077328788</t>
  </si>
  <si>
    <t>Stunning Dutch Rosemary Beach</t>
  </si>
  <si>
    <t>https://www.airbnb.com/rooms/797857967683345409</t>
  </si>
  <si>
    <t>https://a0.muscache.com/im/pictures/miso/Hosting-797857967683345409/original/065dde2a-e38c-4f0e-9823-84e5c9ff01fd.jpeg</t>
  </si>
  <si>
    <t>797857967683345409</t>
  </si>
  <si>
    <t>The Shores at Galveston</t>
  </si>
  <si>
    <t>https://www.airbnb.com/rooms/816076951256804658</t>
  </si>
  <si>
    <t>https://a0.muscache.com/im/pictures/miso/Hosting-816076951256804658/original/2e33a798-25a2-4d38-9a13-9dd02ca145f7.jpeg</t>
  </si>
  <si>
    <t>816076951256804658</t>
  </si>
  <si>
    <t>Seazen</t>
  </si>
  <si>
    <t>https://www.airbnb.com/rooms/829056026651085409</t>
  </si>
  <si>
    <t>https://a0.muscache.com/im/pictures/miso/Hosting-829056026651085409/original/3122a526-9f1b-470b-b346-598b247eab17.jpeg</t>
  </si>
  <si>
    <t>829056026651085409</t>
  </si>
  <si>
    <t>Book Your Retreat | Pool, Hot Tub &amp; Space for All</t>
  </si>
  <si>
    <t>https://www.airbnb.com/rooms/838381304293741989</t>
  </si>
  <si>
    <t>https://a0.muscache.com/im/pictures/prohost-api/Hosting-838381304293741989/original/9bb40646-a96a-46df-953b-d14b9e9ac3c6.jpeg</t>
  </si>
  <si>
    <t>838381304293741989</t>
  </si>
  <si>
    <t>2 Beachfront Homes, Each with Pool. Sleep 26</t>
  </si>
  <si>
    <t>https://www.airbnb.com/rooms/844047269479516327</t>
  </si>
  <si>
    <t>https://a0.muscache.com/im/pictures/prohost-api/Hosting-844047269479516327/original/60b6b4d2-bbf6-465a-b2f6-09b39b740247.jpeg</t>
  </si>
  <si>
    <t>844047269479516327</t>
  </si>
  <si>
    <t>Come Together-consist of 2 Homes4 Golf Carts2 pool</t>
  </si>
  <si>
    <t>https://www.airbnb.com/rooms/855275901818693856</t>
  </si>
  <si>
    <t>https://a0.muscache.com/im/pictures/miso/Hosting-855275901818693856/original/09d7768d-0e3c-45e1-9d9a-109df98a06fe.jpeg</t>
  </si>
  <si>
    <t>855275901818693856</t>
  </si>
  <si>
    <t>Beachfront, private pool, hot tub, elevator</t>
  </si>
  <si>
    <t>https://www.airbnb.com/rooms/914663462653849348</t>
  </si>
  <si>
    <t>https://a0.muscache.com/im/pictures/hosting/Hosting-914663462653849348/original/1d8cf369-a697-457a-b672-69cfc357f0de.jpeg</t>
  </si>
  <si>
    <t>914663462653849348</t>
  </si>
  <si>
    <t>Seagrove Sanctuary | Private Pool~Golf Cart~Bikes~</t>
  </si>
  <si>
    <t>Sea And Stay</t>
  </si>
  <si>
    <t>https://www.airbnb.com/rooms/920343092251137382</t>
  </si>
  <si>
    <t>https://a0.muscache.com/im/pictures/prohost-api/Hosting-920343092251137382/original/9a1de6b1-006c-410d-bd9c-5c4d27885a6a.jpeg</t>
  </si>
  <si>
    <t>920343092251137382</t>
  </si>
  <si>
    <t>BEACH FRONT away from crowds! Sleeps up to 30!</t>
  </si>
  <si>
    <t>https://www.airbnb.com/rooms/929629264064080022</t>
  </si>
  <si>
    <t>https://a0.muscache.com/im/pictures/miso/Hosting-929629264064080022/original/8a1088c2-63ab-4438-91d6-a7caf373e343.jpeg</t>
  </si>
  <si>
    <t>929629264064080022</t>
  </si>
  <si>
    <t>Entire Beach Resort!  Sleeps 28!  Pool/Spa!  Golf!</t>
  </si>
  <si>
    <t>https://www.airbnb.com/rooms/938573342546936290</t>
  </si>
  <si>
    <t>https://a0.muscache.com/im/pictures/hosting/Hosting-U3RheVN1cHBseUxpc3Rpbmc6OTM4NTczMzQyNTQ2OTM2Mjkw/original/fba166a2-ccf6-42ec-bcbc-9aed2c2ddef6.jpeg</t>
  </si>
  <si>
    <t>938573342546936290</t>
  </si>
  <si>
    <t>Direct Beach Access-Golf Cart-Elevator-Pool-HotTub</t>
  </si>
  <si>
    <t>https://www.airbnb.com/rooms/945275980437255879</t>
  </si>
  <si>
    <t>https://a0.muscache.com/im/pictures/5bf7ed63-cafe-4414-8ac9-628060cdf3cb.jpg</t>
  </si>
  <si>
    <t>945275980437255879</t>
  </si>
  <si>
    <t>Kemah Waterfront Estate with Pools &amp; Private Pier</t>
  </si>
  <si>
    <t>Kemah</t>
  </si>
  <si>
    <t>https://www.airbnb.com/rooms/952067803493309017</t>
  </si>
  <si>
    <t>https://a0.muscache.com/im/pictures/prohost-api/Hosting-952067803493309017/original/740e2d15-6ed9-4bb0-9336-32e38da44fbf.jpeg</t>
  </si>
  <si>
    <t>952067803493309017</t>
  </si>
  <si>
    <t>Beach Hanson 3</t>
  </si>
  <si>
    <t>https://www.airbnb.com/rooms/958267730890652692</t>
  </si>
  <si>
    <t>https://a0.muscache.com/im/pictures/miso/Hosting-958267730890652692/original/9e5b1219-58d8-4d36-a8a5-e7eaae8098de.jpeg</t>
  </si>
  <si>
    <t>958267730890652692</t>
  </si>
  <si>
    <t>Beachfront! Hot tub! Elevator! Beach, steps away</t>
  </si>
  <si>
    <t>Townhouse</t>
  </si>
  <si>
    <t>Apt/Condo/Loft</t>
  </si>
  <si>
    <t>https://www.airbnb.com/rooms/964013722744090440</t>
  </si>
  <si>
    <t>https://a0.muscache.com/im/pictures/miso/Hosting-964013722744090440/original/acd75f6a-3cb7-419d-8c5a-541add1a9ad9.jpeg</t>
  </si>
  <si>
    <t>964013722744090440</t>
  </si>
  <si>
    <t>Luxe House w/Private Beach: Hot Tub, 5 King Suites</t>
  </si>
  <si>
    <t>https://www.airbnb.com/rooms/964518101289163126</t>
  </si>
  <si>
    <t>https://a0.muscache.com/im/pictures/prohost-api/Hosting-964518101289163126/original/f0579efa-81c5-4ed7-913a-9a70bff42a9b.jpeg</t>
  </si>
  <si>
    <t>964518101289163126</t>
  </si>
  <si>
    <t>Luxe On The Beach: Gulf Front Pool, 5 King Suites</t>
  </si>
  <si>
    <t>https://www.airbnb.com/rooms/964525834528446273</t>
  </si>
  <si>
    <t>https://a0.muscache.com/im/pictures/prohost-api/Hosting-964525834528446273/original/0f4799b9-c717-4f36-9595-4a0e59e8524b.jpeg</t>
  </si>
  <si>
    <t>964525834528446273</t>
  </si>
  <si>
    <t>Modern Coastal Home, Private Pool &amp; Hot-Tub</t>
  </si>
  <si>
    <t>https://www.airbnb.com/rooms/988486590737634291</t>
  </si>
  <si>
    <t>https://a0.muscache.com/im/pictures/prohost-api/Hosting-988486590737634291/original/9be6e3b6-931f-43e5-a96f-4afd6131d00b.jpeg</t>
  </si>
  <si>
    <t>988486590737634291</t>
  </si>
  <si>
    <t>Knowles House/Free onsite parking/Close to Duval</t>
  </si>
  <si>
    <t>https://www.airbnb.com/rooms/1029140373550231689</t>
  </si>
  <si>
    <t>https://a0.muscache.com/im/pictures/miso/Hosting-1029140373550231689/original/4cc17f55-1446-4ceb-bcc6-07bf17379164.jpeg</t>
  </si>
  <si>
    <t>1029140373550231689</t>
  </si>
  <si>
    <t>William Skelton Home - Sleeps 16 just off Duval St</t>
  </si>
  <si>
    <t>https://www.airbnb.com/rooms/1035490188590993582</t>
  </si>
  <si>
    <t>https://a0.muscache.com/im/pictures/hosting/Hosting-U3RheVN1cHBseUxpc3Rpbmc6MTAzNTQ5MDE4ODU5MDk5MzU4Mg==/original/5589aa36-5c7e-4563-abed-0e2f6336e370.jpeg</t>
  </si>
  <si>
    <t>1035490188590993582</t>
  </si>
  <si>
    <t>Sleeps 25/Gulf views/Salt pool/Across bch/GolfCart</t>
  </si>
  <si>
    <t>https://www.airbnb.com/rooms/1037143032617182422</t>
  </si>
  <si>
    <t>https://a0.muscache.com/im/pictures/prohost-api/Hosting-1037143032617182422/original/1d2a9862-27b7-419d-9265-e5e4fd6310d0.jpeg</t>
  </si>
  <si>
    <t>1037143032617182422</t>
  </si>
  <si>
    <t>Captiva Dr - Waterfront Home, Heated Pool &amp; Dock</t>
  </si>
  <si>
    <t>https://www.airbnb.com/rooms/1038527461329223589</t>
  </si>
  <si>
    <t>https://a0.muscache.com/im/pictures/miso/Hosting-1038527461329223589/original/17701e54-bd67-42e4-9fb8-bb2dcd0c0207.jpeg</t>
  </si>
  <si>
    <t>1038527461329223589</t>
  </si>
  <si>
    <t>Beachfront-Heated Pool | Hot Tub | Lift | Sleep 32</t>
  </si>
  <si>
    <t>https://www.airbnb.com/rooms/1041383605099362122</t>
  </si>
  <si>
    <t>https://a0.muscache.com/im/pictures/miso/Hosting-1041383605099362122/original/42f5aa5a-4809-4abe-8a72-38ee90ea9831.jpeg</t>
  </si>
  <si>
    <t>1041383605099362122</t>
  </si>
  <si>
    <t>Golf cart~ Pool~Kayaks~Quiet beach~40’ dock</t>
  </si>
  <si>
    <t>https://www.airbnb.com/rooms/1044242225737584680</t>
  </si>
  <si>
    <t>https://a0.muscache.com/im/pictures/miso/Hosting-1044242225737584680/original/fd2ec1f0-744c-4681-ad4b-e564deae2f24.jpeg</t>
  </si>
  <si>
    <t>1044242225737584680</t>
  </si>
  <si>
    <t>Whiskey Beach House: A Luxurious Retreat</t>
  </si>
  <si>
    <t>https://www.airbnb.com/rooms/1076752342813046559</t>
  </si>
  <si>
    <t>https://a0.muscache.com/im/pictures/prohost-api/Hosting-1076752342813046559/original/8b361e69-d34b-4fee-a830-f5f8766554ea.jpeg</t>
  </si>
  <si>
    <t>1076752342813046559</t>
  </si>
  <si>
    <t>Bourbon Beach: Dream Destination - Private Beach</t>
  </si>
  <si>
    <t>https://www.airbnb.com/rooms/1076772379449561491</t>
  </si>
  <si>
    <t>https://a0.muscache.com/im/pictures/prohost-api/Hosting-1076772379449561491/original/60accc6a-bf34-48a8-b7be-31042e4aa566.jpeg</t>
  </si>
  <si>
    <t>1076772379449561491</t>
  </si>
  <si>
    <t>Great Large Group Retreat! Sleeps Up To 30!</t>
  </si>
  <si>
    <t>https://www.airbnb.com/rooms/1082504328835284038</t>
  </si>
  <si>
    <t>https://a0.muscache.com/im/pictures/miso/Hosting-1082504328835284038/original/57950173-b7a7-4bc1-be18-2bca189463d7.jpeg</t>
  </si>
  <si>
    <t>1082504328835284038</t>
  </si>
  <si>
    <t>2 Lodge Combo - Sleeps 30 w/Pool + Private Pier</t>
  </si>
  <si>
    <t>https://www.airbnb.com/rooms/1086518391416202679</t>
  </si>
  <si>
    <t>https://a0.muscache.com/im/pictures/prohost-api/Hosting-1086518391416202679/original/03a077f6-467d-4068-b104-3f4cf963c750.jpeg</t>
  </si>
  <si>
    <t>1086518391416202679</t>
  </si>
  <si>
    <t>Walk to Siesta Key beach/Pool/Theater/Game room</t>
  </si>
  <si>
    <t>https://www.airbnb.com/rooms/1089455429664507046</t>
  </si>
  <si>
    <t>https://a0.muscache.com/im/pictures/hosting/Hosting-U3RheVN1cHBseUxpc3Rpbmc6MTA4OTQ1NTQyOTY2NDUwNzA0Ng%3D%3D/original/c6cead57-4069-4b6a-bc70-4e4af66e72ec.jpeg</t>
  </si>
  <si>
    <t>1089455429664507046</t>
  </si>
  <si>
    <t>Beachfront-Swim Spa, Elevator, Golf Cart,Game Room</t>
  </si>
  <si>
    <t>https://www.airbnb.com/rooms/1114027806604816294</t>
  </si>
  <si>
    <t>https://a0.muscache.com/im/pictures/prohost-api/Hosting-1114027806604816294/original/d280925a-6c05-4134-831a-0ccbc21ceeed.jpeg</t>
  </si>
  <si>
    <t>1114027806604816294</t>
  </si>
  <si>
    <t>Luxury Brand New | Beach Access | Elevator | 5BR</t>
  </si>
  <si>
    <t>https://www.airbnb.com/rooms/1130419022589269995</t>
  </si>
  <si>
    <t>https://a0.muscache.com/im/pictures/hosting/Hosting-U3RheVN1cHBseUxpc3Rpbmc6MTEzMDQxOTAyMjU4OTI2OTk5NQ%3D%3D/original/11eb13b4-c98a-4663-869d-ef4c585db141.jpeg</t>
  </si>
  <si>
    <t>1130419022589269995</t>
  </si>
  <si>
    <t>Bayfront Trio House w/Hot Tub + Private Pier</t>
  </si>
  <si>
    <t>https://www.airbnb.com/rooms/1151446945444685285</t>
  </si>
  <si>
    <t>https://a0.muscache.com/im/pictures/prohost-api/Hosting-1151446945444685285/original/77e63c4e-501f-4acf-911b-09372e425b1a.jpeg</t>
  </si>
  <si>
    <t>1151446945444685285</t>
  </si>
  <si>
    <t>Mer Soleil - Spacious Luxury Beach Retreat</t>
  </si>
  <si>
    <t>https://www.airbnb.com/rooms/1156428001025130773</t>
  </si>
  <si>
    <t>https://a0.muscache.com/im/pictures/prohost-api/Hosting-1156428001025130773/original/1d32aaf7-b9bd-4107-9560-5fecb61a90e2.jpeg</t>
  </si>
  <si>
    <t>1156428001025130773</t>
  </si>
  <si>
    <t>The Brady Bunch House - Your Nostalgic Getaway</t>
  </si>
  <si>
    <t>https://www.airbnb.com/rooms/1184031255234671072</t>
  </si>
  <si>
    <t>https://a0.muscache.com/im/pictures/prohost-api/Hosting-1184031255234671072/original/165c1e7c-68be-4144-bb29-9cfc1b2e254d.jpeg</t>
  </si>
  <si>
    <t>1184031255234671072</t>
  </si>
  <si>
    <t>Rosemary Beach House and Carriage house with pool</t>
  </si>
  <si>
    <t>https://www.airbnb.com/rooms/1185855274112092187</t>
  </si>
  <si>
    <t>https://a0.muscache.com/im/pictures/hosting/Hosting-U3RheVN1cHBseUxpc3Rpbmc6MTE4NTg1NTI3NDExMjA5MjE4Nw==/original/7091c909-aaed-4f4f-91f3-3f89515fe57d.jpeg</t>
  </si>
  <si>
    <t>1185855274112092187</t>
  </si>
  <si>
    <t>Opened 2025 Luxury Beach House POOL Steps to Beach</t>
  </si>
  <si>
    <t>https://www.airbnb.com/rooms/1211858896320962410</t>
  </si>
  <si>
    <t>https://a0.muscache.com/im/pictures/prohost-api/Hosting-1211858896320962410/original/e08488aa-b4a2-4056-a894-7611dc38ae7e.jpeg</t>
  </si>
  <si>
    <t>1211858896320962410</t>
  </si>
  <si>
    <t>Finaleigh! St George Island, FL</t>
  </si>
  <si>
    <t>https://www.airbnb.com/rooms/1220211646310502550</t>
  </si>
  <si>
    <t>https://a0.muscache.com/im/pictures/miso/Hosting-1220211646310502550/original/7485f43d-bf2d-457b-ae96-507a0c44c863.jpeg</t>
  </si>
  <si>
    <t>1220211646310502550</t>
  </si>
  <si>
    <t>Beach House, Pool &amp; Sky Deck</t>
  </si>
  <si>
    <t>https://www.airbnb.com/rooms/1232718612657734640</t>
  </si>
  <si>
    <t>https://a0.muscache.com/im/pictures/miso/Hosting-1232718612657734640/original/4948a347-5f90-484f-b503-2af860cebb75.jpeg</t>
  </si>
  <si>
    <t>1232718612657734640</t>
  </si>
  <si>
    <t>Maison Residences, 8 Bedroom oceanfront w Pool</t>
  </si>
  <si>
    <t>Apartment</t>
  </si>
  <si>
    <t>https://www.airbnb.com/rooms/1243544270533828109</t>
  </si>
  <si>
    <t>https://a0.muscache.com/im/pictures/hosting/Hosting-1243544270533828109/original/433a82b3-33d8-4613-aad3-3ba43e464b54.jpeg</t>
  </si>
  <si>
    <t>1243544270533828109</t>
  </si>
  <si>
    <t>Gulf Beachfront 9BR/8BTH w/Pool</t>
  </si>
  <si>
    <t>https://www.airbnb.com/rooms/1246497958530043830</t>
  </si>
  <si>
    <t>https://a0.muscache.com/im/pictures/hosting/Hosting-1246497958530043830/original/6af7876c-755d-4494-a6f6-6ed9d9747cbd.jpeg</t>
  </si>
  <si>
    <t>1246497958530043830</t>
  </si>
  <si>
    <t>Beachfront Paradise Sleeps 20 w/ Heated Pool</t>
  </si>
  <si>
    <t>https://www.airbnb.com/rooms/1314687990212688203</t>
  </si>
  <si>
    <t>https://a0.muscache.com/im/pictures/hosting/Hosting-1314687990212688203/original/e9abfbc5-72b3-4a41-9053-2d336c4370cb.jpeg</t>
  </si>
  <si>
    <t>1314687990212688203</t>
  </si>
  <si>
    <t>Event-Friendly Beach Villas | Sleeps 24</t>
  </si>
  <si>
    <t>Fernandina Beach</t>
  </si>
  <si>
    <t>https://www.airbnb.com/rooms/1351119212584135866</t>
  </si>
  <si>
    <t>https://a0.muscache.com/im/pictures/miso/Hosting-1351119212584135866/original/797cb270-a695-4921-b8bb-177229b4a562.jpeg</t>
  </si>
  <si>
    <t>1351119212584135866</t>
  </si>
  <si>
    <t>Luxury 6 Bedroom Home With Gulf Views</t>
  </si>
  <si>
    <t>https://www.airbnb.com/rooms/1353738338308683085</t>
  </si>
  <si>
    <t>https://a0.muscache.com/im/pictures/prohost-api/Hosting-1353738338308683085/original/9c46134e-c782-4676-b98c-eab9d8893d35.jpeg</t>
  </si>
  <si>
    <t>1353738338308683085</t>
  </si>
  <si>
    <t>2 Beachfront Homes | Heated Pools | Hot Tubs | 56</t>
  </si>
  <si>
    <t>https://www.airbnb.com/rooms/1389878138399394766</t>
  </si>
  <si>
    <t>https://a0.muscache.com/im/pictures/hosting/Hosting-U3RheVN1cHBseUxpc3Rpbmc6MTM4OTg3ODEzODM5OTM5NDc2Ng==/original/bad71e30-5285-43b7-9097-03c94a4d7349.png</t>
  </si>
  <si>
    <t>1389878138399394766</t>
  </si>
  <si>
    <t>SEA OF GRACE-Beachfront -Offered by OGPlaces.com</t>
  </si>
  <si>
    <t>https://www.airbnb.com/rooms/1391316265213279956</t>
  </si>
  <si>
    <t>https://a0.muscache.com/im/pictures/prohost-api/Hosting-1391316265213279956/original/2d76b3ea-0320-4421-86e4-ee667408a54e.jpeg</t>
  </si>
  <si>
    <t>1391316265213279956</t>
  </si>
  <si>
    <t>7921460ha</t>
  </si>
  <si>
    <t>The Crown Jewel of 30A! Gulf-Views! Sleeps 20!</t>
  </si>
  <si>
    <t>https://www.airbnb.com/rooms/1396613776552799558</t>
  </si>
  <si>
    <t>https://a0.muscache.com/im/pictures/miso/Hosting-1396613776552799558/original/4a9ce0dd-e920-4ecd-8669-990a0fdca7fe.jpeg</t>
  </si>
  <si>
    <t>1396613776552799558</t>
  </si>
  <si>
    <t>Happy HollyDay</t>
  </si>
  <si>
    <t>https://www.airbnb.com/rooms/1436333033339496738</t>
  </si>
  <si>
    <t>https://a0.muscache.com/im/pictures/miso/Hosting-1436333033339496738/original/de256373-3bf7-4550-ae18-aac8c6a4280d.jpeg</t>
  </si>
  <si>
    <t>1436333033339496738</t>
  </si>
  <si>
    <t>3 Beachfront Homes | Heated Pools | Hot Tubs | 80</t>
  </si>
  <si>
    <t>https://www.airbnb.com/rooms/1508077922952428584</t>
  </si>
  <si>
    <t>https://a0.muscache.com/im/pictures/hosting/Hosting-U3RheVN1cHBseUxpc3Rpbmc6MTUwODA3NzkyMjk1MjQyODU4NA==/original/ffa73d89-07e0-40ea-bff3-fe9cfbe90578.png</t>
  </si>
  <si>
    <t>1508077922952428584</t>
  </si>
  <si>
    <t>Private Modern Siesta Key Paradise</t>
  </si>
  <si>
    <t>https://www.airbnb.com/rooms/1525540711616336372</t>
  </si>
  <si>
    <t>https://a0.muscache.com/im/pictures/hosting/Hosting-1525540711616336372/original/ce68439d-2ce9-4298-8e53-ca12c54d3042.jpeg</t>
  </si>
  <si>
    <t>1525540711616336372</t>
  </si>
  <si>
    <t>Luxury Villa*Pool*Hot Tub*Dolphins*Close to Beach</t>
  </si>
  <si>
    <t>https://www.airbnb.com/rooms/1543559640008490347</t>
  </si>
  <si>
    <t>https://a0.muscache.com/im/pictures/hosting/Hosting-1543559640008490347/original/0b6f659f-b061-4c4e-9649-2c329d09a963.jpeg</t>
  </si>
  <si>
    <t>1543559640008490347</t>
  </si>
  <si>
    <t>Delight in Views from Private Balcony – Near Beach</t>
  </si>
  <si>
    <t>https://www.airbnb.com/rooms/1556544551395845973</t>
  </si>
  <si>
    <t>https://a0.muscache.com/im/pictures/prohost-api/Hosting-1556544551395845973/original/6f98cbe0-96fd-4900-b9e0-11e73663aa0b.jpeg</t>
  </si>
  <si>
    <t>1556544551395845973</t>
  </si>
  <si>
    <t>Luxury Siesta Key Retreat with Pool, Spa, Rooftop</t>
  </si>
  <si>
    <t>https://www.airbnb.com/rooms/1558835932153726604</t>
  </si>
  <si>
    <t>https://a0.muscache.com/im/pictures/prohost-api/Hosting-1558835932153726604/original/ff103dfa-a771-4b2a-a7cb-9deb54b3fcaa.jpeg</t>
  </si>
  <si>
    <t>1558835932153726604</t>
  </si>
  <si>
    <t>South Seas Full Resort Access Gulf Cottage 1102</t>
  </si>
  <si>
    <t>https://www.airbnb.com/rooms/1562525010821052562</t>
  </si>
  <si>
    <t>https://a0.muscache.com/im/pictures/hosting/Hosting-1562525010821052562/original/073c3503-b444-4b1f-a4df-4c9227bf1065.jpeg</t>
  </si>
  <si>
    <t>1562525010821052562</t>
  </si>
  <si>
    <t>Captiva Beach Sunset: Gulf Views + Pool + Carts</t>
  </si>
  <si>
    <t>Pineland</t>
  </si>
  <si>
    <t>https://www.airbnb.com/rooms/1608072107950817687</t>
  </si>
  <si>
    <t>https://a0.muscache.com/im/pictures/prohost-api/Hosting-1608072107950817687/original/65fd406b-86e5-43fa-94fc-b425e4d93384.jpeg</t>
  </si>
  <si>
    <t>1608072107950817687</t>
  </si>
  <si>
    <t>NEW LISTING! The Village Breeze 8BR with heated Pool, near Beach, 250ft to Siesta Key Village!</t>
  </si>
  <si>
    <t>Gertrude Rentals</t>
  </si>
  <si>
    <t>https://www.vrbo.com/20184410ha</t>
  </si>
  <si>
    <t>https://media.vrbo.com/lodging/120000000/119500000/119492700/119492636/6a062e93.jpg?impolicy=resizecrop&amp;rw=1200&amp;ra=fit</t>
  </si>
  <si>
    <t>20184410ha</t>
  </si>
  <si>
    <t>Sea Island Beach Front with pool. Ocean views from almost All Rooms</t>
  </si>
  <si>
    <t>https://www.vrbo.com/7444051ha</t>
  </si>
  <si>
    <t>https://media.vrbo.com/lodging/35000000/34460000/34456100/34456073/acad3dd4.jpg?impolicy=resizecrop&amp;rw=1200&amp;ra=fit</t>
  </si>
  <si>
    <t>7444051ha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</si>
</sst>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0.muscache.com/im/pictures/c792e92e-1159-4c37-b101-48f73b57404b.jpg" TargetMode="External"/><Relationship Id="rId190" Type="http://schemas.openxmlformats.org/officeDocument/2006/relationships/hyperlink" Target="https://a0.muscache.com/im/pictures/prohost-api/Hosting-1353738338308683085/original/9c46134e-c782-4676-b98c-eab9d8893d35.jpeg" TargetMode="External"/><Relationship Id="rId42" Type="http://schemas.openxmlformats.org/officeDocument/2006/relationships/hyperlink" Target="https://a0.muscache.com/im/pictures/prohost-api/Hosting-14570521/original/e99e4ad7-84f4-4151-87f4-1e64bb1c2e6d.jpeg" TargetMode="External"/><Relationship Id="rId41" Type="http://schemas.openxmlformats.org/officeDocument/2006/relationships/hyperlink" Target="https://www.airbnb.com/rooms/14570521" TargetMode="External"/><Relationship Id="rId44" Type="http://schemas.openxmlformats.org/officeDocument/2006/relationships/hyperlink" Target="https://a0.muscache.com/im/pictures/hosting/Hosting-U3RheVN1cHBseUxpc3Rpbmc6MTc2MzUxMjY%3D/original/80d160f3-8afb-455c-a499-10913b1c7d81.jpeg" TargetMode="External"/><Relationship Id="rId194" Type="http://schemas.openxmlformats.org/officeDocument/2006/relationships/hyperlink" Target="https://a0.muscache.com/im/pictures/prohost-api/Hosting-1391316265213279956/original/2d76b3ea-0320-4421-86e4-ee667408a54e.jpeg" TargetMode="External"/><Relationship Id="rId43" Type="http://schemas.openxmlformats.org/officeDocument/2006/relationships/hyperlink" Target="https://www.airbnb.com/rooms/17635126" TargetMode="External"/><Relationship Id="rId193" Type="http://schemas.openxmlformats.org/officeDocument/2006/relationships/hyperlink" Target="https://www.airbnb.com/rooms/1391316265213279956" TargetMode="External"/><Relationship Id="rId46" Type="http://schemas.openxmlformats.org/officeDocument/2006/relationships/hyperlink" Target="https://a0.muscache.com/im/pictures/miso/Hosting-19919793/original/bf88b320-4052-4da2-bc3d-f09a01691350.jpeg" TargetMode="External"/><Relationship Id="rId192" Type="http://schemas.openxmlformats.org/officeDocument/2006/relationships/hyperlink" Target="https://a0.muscache.com/im/pictures/hosting/Hosting-U3RheVN1cHBseUxpc3Rpbmc6MTM4OTg3ODEzODM5OTM5NDc2Ng==/original/bad71e30-5285-43b7-9097-03c94a4d7349.png" TargetMode="External"/><Relationship Id="rId45" Type="http://schemas.openxmlformats.org/officeDocument/2006/relationships/hyperlink" Target="https://www.airbnb.com/rooms/19919793" TargetMode="External"/><Relationship Id="rId191" Type="http://schemas.openxmlformats.org/officeDocument/2006/relationships/hyperlink" Target="https://www.airbnb.com/rooms/1389878138399394766" TargetMode="External"/><Relationship Id="rId48" Type="http://schemas.openxmlformats.org/officeDocument/2006/relationships/hyperlink" Target="https://a0.muscache.com/im/pictures/6bb93eee-7307-4881-9cfb-00fc0c150e99.jpg" TargetMode="External"/><Relationship Id="rId187" Type="http://schemas.openxmlformats.org/officeDocument/2006/relationships/hyperlink" Target="https://www.airbnb.com/rooms/1351119212584135866" TargetMode="External"/><Relationship Id="rId47" Type="http://schemas.openxmlformats.org/officeDocument/2006/relationships/hyperlink" Target="https://www.airbnb.com/rooms/31852877" TargetMode="External"/><Relationship Id="rId186" Type="http://schemas.openxmlformats.org/officeDocument/2006/relationships/hyperlink" Target="https://a0.muscache.com/im/pictures/hosting/Hosting-1314687990212688203/original/e9abfbc5-72b3-4a41-9053-2d336c4370cb.jpeg" TargetMode="External"/><Relationship Id="rId185" Type="http://schemas.openxmlformats.org/officeDocument/2006/relationships/hyperlink" Target="https://www.airbnb.com/rooms/1314687990212688203" TargetMode="External"/><Relationship Id="rId49" Type="http://schemas.openxmlformats.org/officeDocument/2006/relationships/hyperlink" Target="https://www.airbnb.com/rooms/34993307" TargetMode="External"/><Relationship Id="rId184" Type="http://schemas.openxmlformats.org/officeDocument/2006/relationships/hyperlink" Target="https://a0.muscache.com/im/pictures/hosting/Hosting-1246497958530043830/original/6af7876c-755d-4494-a6f6-6ed9d9747cbd.jpeg" TargetMode="External"/><Relationship Id="rId189" Type="http://schemas.openxmlformats.org/officeDocument/2006/relationships/hyperlink" Target="https://www.airbnb.com/rooms/1353738338308683085" TargetMode="External"/><Relationship Id="rId188" Type="http://schemas.openxmlformats.org/officeDocument/2006/relationships/hyperlink" Target="https://a0.muscache.com/im/pictures/miso/Hosting-1351119212584135866/original/797cb270-a695-4921-b8bb-177229b4a562.jpeg" TargetMode="External"/><Relationship Id="rId31" Type="http://schemas.openxmlformats.org/officeDocument/2006/relationships/hyperlink" Target="https://www.vrbo.com/4069757" TargetMode="External"/><Relationship Id="rId30" Type="http://schemas.openxmlformats.org/officeDocument/2006/relationships/hyperlink" Target="https://media.vrbo.com/lodging/101000000/100530000/100525400/100525329/68234211.jpg?impolicy=resizecrop&amp;rw=1200&amp;ra=fit" TargetMode="External"/><Relationship Id="rId33" Type="http://schemas.openxmlformats.org/officeDocument/2006/relationships/hyperlink" Target="https://www.vrbo.com/4121224" TargetMode="External"/><Relationship Id="rId183" Type="http://schemas.openxmlformats.org/officeDocument/2006/relationships/hyperlink" Target="https://www.airbnb.com/rooms/1246497958530043830" TargetMode="External"/><Relationship Id="rId32" Type="http://schemas.openxmlformats.org/officeDocument/2006/relationships/hyperlink" Target="https://media.vrbo.com/lodging/107000000/106400000/106392200/106392150/fba527f2.jpg?impolicy=resizecrop&amp;rw=1200&amp;ra=fit" TargetMode="External"/><Relationship Id="rId182" Type="http://schemas.openxmlformats.org/officeDocument/2006/relationships/hyperlink" Target="https://a0.muscache.com/im/pictures/hosting/Hosting-1243544270533828109/original/433a82b3-33d8-4613-aad3-3ba43e464b54.jpeg" TargetMode="External"/><Relationship Id="rId35" Type="http://schemas.openxmlformats.org/officeDocument/2006/relationships/hyperlink" Target="https://www.vrbo.com/4816628" TargetMode="External"/><Relationship Id="rId181" Type="http://schemas.openxmlformats.org/officeDocument/2006/relationships/hyperlink" Target="https://www.airbnb.com/rooms/1243544270533828109" TargetMode="External"/><Relationship Id="rId34" Type="http://schemas.openxmlformats.org/officeDocument/2006/relationships/hyperlink" Target="https://media.vrbo.com/lodging/108000000/107280000/107277400/107277362/96313a91.jpg?impolicy=resizecrop&amp;rw=1200&amp;ra=fit" TargetMode="External"/><Relationship Id="rId180" Type="http://schemas.openxmlformats.org/officeDocument/2006/relationships/hyperlink" Target="https://a0.muscache.com/im/pictures/miso/Hosting-1232718612657734640/original/4948a347-5f90-484f-b503-2af860cebb75.jpeg" TargetMode="External"/><Relationship Id="rId37" Type="http://schemas.openxmlformats.org/officeDocument/2006/relationships/hyperlink" Target="https://www.vrbo.com/4821106" TargetMode="External"/><Relationship Id="rId176" Type="http://schemas.openxmlformats.org/officeDocument/2006/relationships/hyperlink" Target="https://a0.muscache.com/im/pictures/prohost-api/Hosting-1211858896320962410/original/e08488aa-b4a2-4056-a894-7611dc38ae7e.jpeg" TargetMode="External"/><Relationship Id="rId36" Type="http://schemas.openxmlformats.org/officeDocument/2006/relationships/hyperlink" Target="https://media.vrbo.com/lodging/121000000/120380000/120378500/120378479/d4fbfb07.jpg?impolicy=resizecrop&amp;rw=1200&amp;ra=fit" TargetMode="External"/><Relationship Id="rId175" Type="http://schemas.openxmlformats.org/officeDocument/2006/relationships/hyperlink" Target="https://www.airbnb.com/rooms/1211858896320962410" TargetMode="External"/><Relationship Id="rId39" Type="http://schemas.openxmlformats.org/officeDocument/2006/relationships/hyperlink" Target="https://www.airbnb.com/rooms/9307503" TargetMode="External"/><Relationship Id="rId174" Type="http://schemas.openxmlformats.org/officeDocument/2006/relationships/hyperlink" Target="https://a0.muscache.com/im/pictures/hosting/Hosting-U3RheVN1cHBseUxpc3Rpbmc6MTE4NTg1NTI3NDExMjA5MjE4Nw==/original/7091c909-aaed-4f4f-91f3-3f89515fe57d.jpeg" TargetMode="External"/><Relationship Id="rId38" Type="http://schemas.openxmlformats.org/officeDocument/2006/relationships/hyperlink" Target="https://media.vrbo.com/lodging/121000000/120440000/120438100/120438091/0bb55640.jpg?impolicy=resizecrop&amp;rw=1200&amp;ra=fit" TargetMode="External"/><Relationship Id="rId173" Type="http://schemas.openxmlformats.org/officeDocument/2006/relationships/hyperlink" Target="https://www.airbnb.com/rooms/1185855274112092187" TargetMode="External"/><Relationship Id="rId179" Type="http://schemas.openxmlformats.org/officeDocument/2006/relationships/hyperlink" Target="https://www.airbnb.com/rooms/1232718612657734640" TargetMode="External"/><Relationship Id="rId178" Type="http://schemas.openxmlformats.org/officeDocument/2006/relationships/hyperlink" Target="https://a0.muscache.com/im/pictures/miso/Hosting-1220211646310502550/original/7485f43d-bf2d-457b-ae96-507a0c44c863.jpeg" TargetMode="External"/><Relationship Id="rId177" Type="http://schemas.openxmlformats.org/officeDocument/2006/relationships/hyperlink" Target="https://www.airbnb.com/rooms/1220211646310502550" TargetMode="External"/><Relationship Id="rId20" Type="http://schemas.openxmlformats.org/officeDocument/2006/relationships/hyperlink" Target="https://media.vrbo.com/lodging/60000000/59200000/59197700/59197674/89eb475c.jpg?impolicy=resizecrop&amp;rw=1200&amp;ra=fit" TargetMode="External"/><Relationship Id="rId22" Type="http://schemas.openxmlformats.org/officeDocument/2006/relationships/hyperlink" Target="https://media.vrbo.com/lodging/67000000/66400000/66390600/66390525/6db3904f.jpg?impolicy=resizecrop&amp;rw=1200&amp;ra=fit" TargetMode="External"/><Relationship Id="rId21" Type="http://schemas.openxmlformats.org/officeDocument/2006/relationships/hyperlink" Target="https://www.vrbo.com/2261142" TargetMode="External"/><Relationship Id="rId24" Type="http://schemas.openxmlformats.org/officeDocument/2006/relationships/hyperlink" Target="https://a0.muscache.com/im/pictures/miso/Hosting-2401153/original/f4813b5b-333b-4494-af01-ec89a96f47fe.jpeg" TargetMode="External"/><Relationship Id="rId23" Type="http://schemas.openxmlformats.org/officeDocument/2006/relationships/hyperlink" Target="https://www.airbnb.com/rooms/2401153" TargetMode="External"/><Relationship Id="rId26" Type="http://schemas.openxmlformats.org/officeDocument/2006/relationships/hyperlink" Target="https://media.vrbo.com/lodging/71000000/70940000/70939600/70939532/86e91f56.jpg?impolicy=resizecrop&amp;rw=1200&amp;ra=fit" TargetMode="External"/><Relationship Id="rId25" Type="http://schemas.openxmlformats.org/officeDocument/2006/relationships/hyperlink" Target="https://www.vrbo.com/2452610" TargetMode="External"/><Relationship Id="rId28" Type="http://schemas.openxmlformats.org/officeDocument/2006/relationships/hyperlink" Target="https://media.vrbo.com/lodging/80000000/79290000/79280300/79280271/eacaecb7.jpg?impolicy=resizecrop&amp;rw=1200&amp;ra=fit" TargetMode="External"/><Relationship Id="rId27" Type="http://schemas.openxmlformats.org/officeDocument/2006/relationships/hyperlink" Target="https://www.vrbo.com/2845710" TargetMode="External"/><Relationship Id="rId29" Type="http://schemas.openxmlformats.org/officeDocument/2006/relationships/hyperlink" Target="https://www.vrbo.com/3721697" TargetMode="External"/><Relationship Id="rId11" Type="http://schemas.openxmlformats.org/officeDocument/2006/relationships/hyperlink" Target="https://www.vrbo.com/1091049" TargetMode="External"/><Relationship Id="rId10" Type="http://schemas.openxmlformats.org/officeDocument/2006/relationships/hyperlink" Target="https://media.vrbo.com/lodging/34000000/33940000/33933300/33933250/12c87f22.jpg?impolicy=resizecrop&amp;rw=1200&amp;ra=fit" TargetMode="External"/><Relationship Id="rId13" Type="http://schemas.openxmlformats.org/officeDocument/2006/relationships/hyperlink" Target="https://www.vrbo.com/1465539" TargetMode="External"/><Relationship Id="rId12" Type="http://schemas.openxmlformats.org/officeDocument/2006/relationships/hyperlink" Target="https://media.vrbo.com/lodging/35000000/34120000/34112700/34112627/06968fb5.jpg?impolicy=resizecrop&amp;rw=1200&amp;ra=fit" TargetMode="External"/><Relationship Id="rId15" Type="http://schemas.openxmlformats.org/officeDocument/2006/relationships/hyperlink" Target="https://www.vrbo.com/1802763" TargetMode="External"/><Relationship Id="rId198" Type="http://schemas.openxmlformats.org/officeDocument/2006/relationships/hyperlink" Target="https://a0.muscache.com/im/pictures/miso/Hosting-1436333033339496738/original/de256373-3bf7-4550-ae18-aac8c6a4280d.jpeg" TargetMode="External"/><Relationship Id="rId14" Type="http://schemas.openxmlformats.org/officeDocument/2006/relationships/hyperlink" Target="https://media.vrbo.com/lodging/35000000/34210000/34201400/34201309/8fb51b98.jpg?impolicy=resizecrop&amp;rw=1200&amp;ra=fit" TargetMode="External"/><Relationship Id="rId197" Type="http://schemas.openxmlformats.org/officeDocument/2006/relationships/hyperlink" Target="https://www.airbnb.com/rooms/1436333033339496738" TargetMode="External"/><Relationship Id="rId17" Type="http://schemas.openxmlformats.org/officeDocument/2006/relationships/hyperlink" Target="https://www.vrbo.com/1962198" TargetMode="External"/><Relationship Id="rId196" Type="http://schemas.openxmlformats.org/officeDocument/2006/relationships/hyperlink" Target="https://a0.muscache.com/im/pictures/miso/Hosting-1396613776552799558/original/4a9ce0dd-e920-4ecd-8669-990a0fdca7fe.jpeg" TargetMode="External"/><Relationship Id="rId16" Type="http://schemas.openxmlformats.org/officeDocument/2006/relationships/hyperlink" Target="https://media.vrbo.com/lodging/43000000/42380000/42378600/42378531/36817735.jpg?impolicy=resizecrop&amp;rw=1200&amp;ra=fit" TargetMode="External"/><Relationship Id="rId195" Type="http://schemas.openxmlformats.org/officeDocument/2006/relationships/hyperlink" Target="https://www.airbnb.com/rooms/1396613776552799558" TargetMode="External"/><Relationship Id="rId19" Type="http://schemas.openxmlformats.org/officeDocument/2006/relationships/hyperlink" Target="https://www.vrbo.com/2089225" TargetMode="External"/><Relationship Id="rId18" Type="http://schemas.openxmlformats.org/officeDocument/2006/relationships/hyperlink" Target="https://media.vrbo.com/lodging/52000000/51670000/51661000/51660915/0be61eb4.jpg?impolicy=resizecrop&amp;rw=1200&amp;ra=fit" TargetMode="External"/><Relationship Id="rId199" Type="http://schemas.openxmlformats.org/officeDocument/2006/relationships/hyperlink" Target="https://www.airbnb.com/rooms/1508077922952428584" TargetMode="External"/><Relationship Id="rId84" Type="http://schemas.openxmlformats.org/officeDocument/2006/relationships/hyperlink" Target="https://a0.muscache.com/im/pictures/miso/Hosting-555905368788364998/original/996c23f8-fa67-4f84-b5da-8c6690900705.jpeg" TargetMode="External"/><Relationship Id="rId83" Type="http://schemas.openxmlformats.org/officeDocument/2006/relationships/hyperlink" Target="https://www.airbnb.com/rooms/555905368788364998" TargetMode="External"/><Relationship Id="rId86" Type="http://schemas.openxmlformats.org/officeDocument/2006/relationships/hyperlink" Target="https://a0.muscache.com/im/pictures/miso/Hosting-595602972006159776/original/e4c1fe02-0f64-41b1-8c60-e811b803cb6e.jpeg" TargetMode="External"/><Relationship Id="rId85" Type="http://schemas.openxmlformats.org/officeDocument/2006/relationships/hyperlink" Target="https://www.airbnb.com/rooms/595602972006159776" TargetMode="External"/><Relationship Id="rId88" Type="http://schemas.openxmlformats.org/officeDocument/2006/relationships/hyperlink" Target="https://a0.muscache.com/im/pictures/prohost-api/Hosting-620917079595687062/original/fceff200-3869-485a-bb77-539d4ae9c51d.jpeg" TargetMode="External"/><Relationship Id="rId150" Type="http://schemas.openxmlformats.org/officeDocument/2006/relationships/hyperlink" Target="https://a0.muscache.com/im/pictures/miso/Hosting-1041383605099362122/original/42f5aa5a-4809-4abe-8a72-38ee90ea9831.jpeg" TargetMode="External"/><Relationship Id="rId87" Type="http://schemas.openxmlformats.org/officeDocument/2006/relationships/hyperlink" Target="https://www.airbnb.com/rooms/620917079595687062" TargetMode="External"/><Relationship Id="rId89" Type="http://schemas.openxmlformats.org/officeDocument/2006/relationships/hyperlink" Target="https://www.airbnb.com/rooms/641175771207855507" TargetMode="External"/><Relationship Id="rId80" Type="http://schemas.openxmlformats.org/officeDocument/2006/relationships/hyperlink" Target="https://a0.muscache.com/im/pictures/prohost-api/Hosting-53938203/original/d1ee5e4b-51ba-40b6-b624-55fd6a477db6.png" TargetMode="External"/><Relationship Id="rId82" Type="http://schemas.openxmlformats.org/officeDocument/2006/relationships/hyperlink" Target="https://a0.muscache.com/im/pictures/miso/Hosting-54389655/original/9159c19b-5dd3-41fe-a039-5602525b8ce9.jpeg" TargetMode="External"/><Relationship Id="rId81" Type="http://schemas.openxmlformats.org/officeDocument/2006/relationships/hyperlink" Target="https://www.airbnb.com/rooms/54389655" TargetMode="External"/><Relationship Id="rId1" Type="http://schemas.openxmlformats.org/officeDocument/2006/relationships/hyperlink" Target="https://www.vrbo.com/168400" TargetMode="External"/><Relationship Id="rId2" Type="http://schemas.openxmlformats.org/officeDocument/2006/relationships/hyperlink" Target="https://media.vrbo.com/lodging/34000000/33400000/33394100/33394059/13c9c279.jpg?impolicy=resizecrop&amp;rw=1200&amp;ra=fit" TargetMode="External"/><Relationship Id="rId3" Type="http://schemas.openxmlformats.org/officeDocument/2006/relationships/hyperlink" Target="https://www.vrbo.com/429585" TargetMode="External"/><Relationship Id="rId149" Type="http://schemas.openxmlformats.org/officeDocument/2006/relationships/hyperlink" Target="https://www.airbnb.com/rooms/1041383605099362122" TargetMode="External"/><Relationship Id="rId4" Type="http://schemas.openxmlformats.org/officeDocument/2006/relationships/hyperlink" Target="https://media.vrbo.com/lodging/35000000/34120000/34113000/34112997/bd06d3f6_edited_ddb0.jpg?impolicy=resizecrop&amp;rw=1200&amp;ra=fit" TargetMode="External"/><Relationship Id="rId148" Type="http://schemas.openxmlformats.org/officeDocument/2006/relationships/hyperlink" Target="https://a0.muscache.com/im/pictures/miso/Hosting-1038527461329223589/original/17701e54-bd67-42e4-9fb8-bb2dcd0c0207.jpeg" TargetMode="External"/><Relationship Id="rId9" Type="http://schemas.openxmlformats.org/officeDocument/2006/relationships/hyperlink" Target="https://www.vrbo.com/772868" TargetMode="External"/><Relationship Id="rId143" Type="http://schemas.openxmlformats.org/officeDocument/2006/relationships/hyperlink" Target="https://www.airbnb.com/rooms/1035490188590993582" TargetMode="External"/><Relationship Id="rId142" Type="http://schemas.openxmlformats.org/officeDocument/2006/relationships/hyperlink" Target="https://a0.muscache.com/im/pictures/miso/Hosting-1029140373550231689/original/4cc17f55-1446-4ceb-bcc6-07bf17379164.jpeg" TargetMode="External"/><Relationship Id="rId141" Type="http://schemas.openxmlformats.org/officeDocument/2006/relationships/hyperlink" Target="https://www.airbnb.com/rooms/1029140373550231689" TargetMode="External"/><Relationship Id="rId140" Type="http://schemas.openxmlformats.org/officeDocument/2006/relationships/hyperlink" Target="https://a0.muscache.com/im/pictures/prohost-api/Hosting-988486590737634291/original/9be6e3b6-931f-43e5-a96f-4afd6131d00b.jpeg" TargetMode="External"/><Relationship Id="rId5" Type="http://schemas.openxmlformats.org/officeDocument/2006/relationships/hyperlink" Target="https://www.vrbo.com/475504" TargetMode="External"/><Relationship Id="rId147" Type="http://schemas.openxmlformats.org/officeDocument/2006/relationships/hyperlink" Target="https://www.airbnb.com/rooms/1038527461329223589" TargetMode="External"/><Relationship Id="rId6" Type="http://schemas.openxmlformats.org/officeDocument/2006/relationships/hyperlink" Target="https://media.vrbo.com/lodging/35000000/34400000/34391700/34391662/65880137.jpg?impolicy=resizecrop&amp;rw=1200&amp;ra=fit" TargetMode="External"/><Relationship Id="rId146" Type="http://schemas.openxmlformats.org/officeDocument/2006/relationships/hyperlink" Target="https://a0.muscache.com/im/pictures/prohost-api/Hosting-1037143032617182422/original/1d2a9862-27b7-419d-9265-e5e4fd6310d0.jpeg" TargetMode="External"/><Relationship Id="rId7" Type="http://schemas.openxmlformats.org/officeDocument/2006/relationships/hyperlink" Target="https://www.vrbo.com/758594" TargetMode="External"/><Relationship Id="rId145" Type="http://schemas.openxmlformats.org/officeDocument/2006/relationships/hyperlink" Target="https://www.airbnb.com/rooms/1037143032617182422" TargetMode="External"/><Relationship Id="rId8" Type="http://schemas.openxmlformats.org/officeDocument/2006/relationships/hyperlink" Target="https://media.vrbo.com/lodging/33000000/32430000/32420100/32420023/c33dd0db.jpg?impolicy=resizecrop&amp;rw=1200&amp;ra=fit" TargetMode="External"/><Relationship Id="rId144" Type="http://schemas.openxmlformats.org/officeDocument/2006/relationships/hyperlink" Target="https://a0.muscache.com/im/pictures/hosting/Hosting-U3RheVN1cHBseUxpc3Rpbmc6MTAzNTQ5MDE4ODU5MDk5MzU4Mg==/original/5589aa36-5c7e-4563-abed-0e2f6336e370.jpeg" TargetMode="External"/><Relationship Id="rId73" Type="http://schemas.openxmlformats.org/officeDocument/2006/relationships/hyperlink" Target="https://www.airbnb.com/rooms/48378411" TargetMode="External"/><Relationship Id="rId72" Type="http://schemas.openxmlformats.org/officeDocument/2006/relationships/hyperlink" Target="https://a0.muscache.com/im/pictures/4cd0b13d-fefc-4fb0-a079-e9ae8fdcbca2.jpg?aki_policy=x_large" TargetMode="External"/><Relationship Id="rId75" Type="http://schemas.openxmlformats.org/officeDocument/2006/relationships/hyperlink" Target="https://www.airbnb.com/rooms/52010148" TargetMode="External"/><Relationship Id="rId74" Type="http://schemas.openxmlformats.org/officeDocument/2006/relationships/hyperlink" Target="https://a0.muscache.com/im/pictures/b51c48b4-3a40-43b2-ad97-887cec1a5bf3.jpg" TargetMode="External"/><Relationship Id="rId77" Type="http://schemas.openxmlformats.org/officeDocument/2006/relationships/hyperlink" Target="https://www.airbnb.com/rooms/52989888" TargetMode="External"/><Relationship Id="rId76" Type="http://schemas.openxmlformats.org/officeDocument/2006/relationships/hyperlink" Target="https://a0.muscache.com/im/pictures/hosting/Hosting-52010148/original/976b013e-8f95-433d-9f33-a942ac4a0c1f.jpeg" TargetMode="External"/><Relationship Id="rId79" Type="http://schemas.openxmlformats.org/officeDocument/2006/relationships/hyperlink" Target="https://www.airbnb.com/rooms/53938203" TargetMode="External"/><Relationship Id="rId78" Type="http://schemas.openxmlformats.org/officeDocument/2006/relationships/hyperlink" Target="https://a0.muscache.com/im/pictures/miso/Hosting-52989888/original/9034aecc-4439-4b06-926e-0cd66398fe31.jpeg" TargetMode="External"/><Relationship Id="rId71" Type="http://schemas.openxmlformats.org/officeDocument/2006/relationships/hyperlink" Target="https://www.airbnb.com/rooms/47811148" TargetMode="External"/><Relationship Id="rId70" Type="http://schemas.openxmlformats.org/officeDocument/2006/relationships/hyperlink" Target="https://a0.muscache.com/im/pictures/04fee1b2-0895-4da1-b55a-4d76d0e3a963.jpg" TargetMode="External"/><Relationship Id="rId139" Type="http://schemas.openxmlformats.org/officeDocument/2006/relationships/hyperlink" Target="https://www.airbnb.com/rooms/988486590737634291" TargetMode="External"/><Relationship Id="rId138" Type="http://schemas.openxmlformats.org/officeDocument/2006/relationships/hyperlink" Target="https://a0.muscache.com/im/pictures/prohost-api/Hosting-964525834528446273/original/0f4799b9-c717-4f36-9595-4a0e59e8524b.jpeg" TargetMode="External"/><Relationship Id="rId137" Type="http://schemas.openxmlformats.org/officeDocument/2006/relationships/hyperlink" Target="https://www.airbnb.com/rooms/964525834528446273" TargetMode="External"/><Relationship Id="rId132" Type="http://schemas.openxmlformats.org/officeDocument/2006/relationships/hyperlink" Target="https://a0.muscache.com/im/pictures/miso/Hosting-958267730890652692/original/9e5b1219-58d8-4d36-a8a5-e7eaae8098de.jpeg" TargetMode="External"/><Relationship Id="rId131" Type="http://schemas.openxmlformats.org/officeDocument/2006/relationships/hyperlink" Target="https://www.airbnb.com/rooms/958267730890652692" TargetMode="External"/><Relationship Id="rId130" Type="http://schemas.openxmlformats.org/officeDocument/2006/relationships/hyperlink" Target="https://a0.muscache.com/im/pictures/prohost-api/Hosting-952067803493309017/original/740e2d15-6ed9-4bb0-9336-32e38da44fbf.jpeg" TargetMode="External"/><Relationship Id="rId136" Type="http://schemas.openxmlformats.org/officeDocument/2006/relationships/hyperlink" Target="https://a0.muscache.com/im/pictures/prohost-api/Hosting-964518101289163126/original/f0579efa-81c5-4ed7-913a-9a70bff42a9b.jpeg" TargetMode="External"/><Relationship Id="rId135" Type="http://schemas.openxmlformats.org/officeDocument/2006/relationships/hyperlink" Target="https://www.airbnb.com/rooms/964518101289163126" TargetMode="External"/><Relationship Id="rId134" Type="http://schemas.openxmlformats.org/officeDocument/2006/relationships/hyperlink" Target="https://a0.muscache.com/im/pictures/miso/Hosting-964013722744090440/original/acd75f6a-3cb7-419d-8c5a-541add1a9ad9.jpeg" TargetMode="External"/><Relationship Id="rId133" Type="http://schemas.openxmlformats.org/officeDocument/2006/relationships/hyperlink" Target="https://www.airbnb.com/rooms/964013722744090440" TargetMode="External"/><Relationship Id="rId62" Type="http://schemas.openxmlformats.org/officeDocument/2006/relationships/hyperlink" Target="https://a0.muscache.com/im/pictures/miso/Hosting-43497837/original/670c3351-4db5-49d6-b73f-f596349c56cb.jpeg" TargetMode="External"/><Relationship Id="rId61" Type="http://schemas.openxmlformats.org/officeDocument/2006/relationships/hyperlink" Target="https://www.airbnb.com/rooms/43497837" TargetMode="External"/><Relationship Id="rId64" Type="http://schemas.openxmlformats.org/officeDocument/2006/relationships/hyperlink" Target="https://a0.muscache.com/im/pictures/prohost-api/Hosting-43958569/original/360696c2-1a9c-435b-9558-7d90b70f8bd3.jpeg" TargetMode="External"/><Relationship Id="rId63" Type="http://schemas.openxmlformats.org/officeDocument/2006/relationships/hyperlink" Target="https://www.airbnb.com/rooms/43958569" TargetMode="External"/><Relationship Id="rId66" Type="http://schemas.openxmlformats.org/officeDocument/2006/relationships/hyperlink" Target="https://a0.muscache.com/im/pictures/miso/Hosting-45132967/original/7e869696-dbc2-48fb-a4b3-23f4ce3d748f.jpeg" TargetMode="External"/><Relationship Id="rId172" Type="http://schemas.openxmlformats.org/officeDocument/2006/relationships/hyperlink" Target="https://a0.muscache.com/im/pictures/prohost-api/Hosting-1184031255234671072/original/165c1e7c-68be-4144-bb29-9cfc1b2e254d.jpeg" TargetMode="External"/><Relationship Id="rId65" Type="http://schemas.openxmlformats.org/officeDocument/2006/relationships/hyperlink" Target="https://www.airbnb.com/rooms/45132967" TargetMode="External"/><Relationship Id="rId171" Type="http://schemas.openxmlformats.org/officeDocument/2006/relationships/hyperlink" Target="https://www.airbnb.com/rooms/1184031255234671072" TargetMode="External"/><Relationship Id="rId68" Type="http://schemas.openxmlformats.org/officeDocument/2006/relationships/hyperlink" Target="https://a0.muscache.com/im/pictures/hosting/Hosting-U3RheVN1cHBseUxpc3Rpbmc6NDU1NDc2MTM=/original/cf341616-3908-483f-818e-db1ee2a254ab.jpeg" TargetMode="External"/><Relationship Id="rId170" Type="http://schemas.openxmlformats.org/officeDocument/2006/relationships/hyperlink" Target="https://a0.muscache.com/im/pictures/prohost-api/Hosting-1156428001025130773/original/1d32aaf7-b9bd-4107-9560-5fecb61a90e2.jpeg" TargetMode="External"/><Relationship Id="rId67" Type="http://schemas.openxmlformats.org/officeDocument/2006/relationships/hyperlink" Target="https://www.airbnb.com/rooms/45547613" TargetMode="External"/><Relationship Id="rId60" Type="http://schemas.openxmlformats.org/officeDocument/2006/relationships/hyperlink" Target="https://a0.muscache.com/im/pictures/9d77a368-03e1-4214-ae64-b0191d611cb3.jpg?aki_policy=x_large" TargetMode="External"/><Relationship Id="rId165" Type="http://schemas.openxmlformats.org/officeDocument/2006/relationships/hyperlink" Target="https://www.airbnb.com/rooms/1130419022589269995" TargetMode="External"/><Relationship Id="rId69" Type="http://schemas.openxmlformats.org/officeDocument/2006/relationships/hyperlink" Target="https://www.airbnb.com/rooms/45984966" TargetMode="External"/><Relationship Id="rId164" Type="http://schemas.openxmlformats.org/officeDocument/2006/relationships/hyperlink" Target="https://a0.muscache.com/im/pictures/prohost-api/Hosting-1114027806604816294/original/d280925a-6c05-4134-831a-0ccbc21ceeed.jpeg" TargetMode="External"/><Relationship Id="rId163" Type="http://schemas.openxmlformats.org/officeDocument/2006/relationships/hyperlink" Target="https://www.airbnb.com/rooms/1114027806604816294" TargetMode="External"/><Relationship Id="rId162" Type="http://schemas.openxmlformats.org/officeDocument/2006/relationships/hyperlink" Target="https://a0.muscache.com/im/pictures/hosting/Hosting-U3RheVN1cHBseUxpc3Rpbmc6MTA4OTQ1NTQyOTY2NDUwNzA0Ng%3D%3D/original/c6cead57-4069-4b6a-bc70-4e4af66e72ec.jpeg" TargetMode="External"/><Relationship Id="rId169" Type="http://schemas.openxmlformats.org/officeDocument/2006/relationships/hyperlink" Target="https://www.airbnb.com/rooms/1156428001025130773" TargetMode="External"/><Relationship Id="rId168" Type="http://schemas.openxmlformats.org/officeDocument/2006/relationships/hyperlink" Target="https://a0.muscache.com/im/pictures/prohost-api/Hosting-1151446945444685285/original/77e63c4e-501f-4acf-911b-09372e425b1a.jpeg" TargetMode="External"/><Relationship Id="rId167" Type="http://schemas.openxmlformats.org/officeDocument/2006/relationships/hyperlink" Target="https://www.airbnb.com/rooms/1151446945444685285" TargetMode="External"/><Relationship Id="rId166" Type="http://schemas.openxmlformats.org/officeDocument/2006/relationships/hyperlink" Target="https://a0.muscache.com/im/pictures/hosting/Hosting-U3RheVN1cHBseUxpc3Rpbmc6MTEzMDQxOTAyMjU4OTI2OTk5NQ%3D%3D/original/11eb13b4-c98a-4663-869d-ef4c585db141.jpeg" TargetMode="External"/><Relationship Id="rId51" Type="http://schemas.openxmlformats.org/officeDocument/2006/relationships/hyperlink" Target="https://www.airbnb.com/rooms/38670669" TargetMode="External"/><Relationship Id="rId50" Type="http://schemas.openxmlformats.org/officeDocument/2006/relationships/hyperlink" Target="https://a0.muscache.com/im/pictures/65609879-6f66-4a73-a024-6a404f642f8d.jpg" TargetMode="External"/><Relationship Id="rId53" Type="http://schemas.openxmlformats.org/officeDocument/2006/relationships/hyperlink" Target="https://www.airbnb.com/rooms/39527229" TargetMode="External"/><Relationship Id="rId52" Type="http://schemas.openxmlformats.org/officeDocument/2006/relationships/hyperlink" Target="https://a0.muscache.com/im/pictures/40821cff-10e3-48c9-841f-80f56235fd90.jpg?aki_policy=x_large" TargetMode="External"/><Relationship Id="rId55" Type="http://schemas.openxmlformats.org/officeDocument/2006/relationships/hyperlink" Target="https://www.airbnb.com/rooms/39921927" TargetMode="External"/><Relationship Id="rId161" Type="http://schemas.openxmlformats.org/officeDocument/2006/relationships/hyperlink" Target="https://www.airbnb.com/rooms/1089455429664507046" TargetMode="External"/><Relationship Id="rId54" Type="http://schemas.openxmlformats.org/officeDocument/2006/relationships/hyperlink" Target="https://a0.muscache.com/im/pictures/prohost-api/Hosting-39527229/original/48361f0d-d3aa-44a0-9fb7-3a47498a5974.jpeg" TargetMode="External"/><Relationship Id="rId160" Type="http://schemas.openxmlformats.org/officeDocument/2006/relationships/hyperlink" Target="https://a0.muscache.com/im/pictures/prohost-api/Hosting-1086518391416202679/original/03a077f6-467d-4068-b104-3f4cf963c750.jpeg" TargetMode="External"/><Relationship Id="rId57" Type="http://schemas.openxmlformats.org/officeDocument/2006/relationships/hyperlink" Target="https://www.airbnb.com/rooms/41881998" TargetMode="External"/><Relationship Id="rId56" Type="http://schemas.openxmlformats.org/officeDocument/2006/relationships/hyperlink" Target="https://a0.muscache.com/im/pictures/fac9bb3b-aac2-4b6f-8aa6-044d24cd82d4.jpg?aki_policy=x_large" TargetMode="External"/><Relationship Id="rId159" Type="http://schemas.openxmlformats.org/officeDocument/2006/relationships/hyperlink" Target="https://www.airbnb.com/rooms/1086518391416202679" TargetMode="External"/><Relationship Id="rId59" Type="http://schemas.openxmlformats.org/officeDocument/2006/relationships/hyperlink" Target="https://www.airbnb.com/rooms/42018927" TargetMode="External"/><Relationship Id="rId154" Type="http://schemas.openxmlformats.org/officeDocument/2006/relationships/hyperlink" Target="https://a0.muscache.com/im/pictures/prohost-api/Hosting-1076752342813046559/original/8b361e69-d34b-4fee-a830-f5f8766554ea.jpeg" TargetMode="External"/><Relationship Id="rId58" Type="http://schemas.openxmlformats.org/officeDocument/2006/relationships/hyperlink" Target="https://a0.muscache.com/im/pictures/4918c68f-e7d6-4b07-b050-af5bd0e52e04.jpg" TargetMode="External"/><Relationship Id="rId153" Type="http://schemas.openxmlformats.org/officeDocument/2006/relationships/hyperlink" Target="https://www.airbnb.com/rooms/1076752342813046559" TargetMode="External"/><Relationship Id="rId152" Type="http://schemas.openxmlformats.org/officeDocument/2006/relationships/hyperlink" Target="https://a0.muscache.com/im/pictures/miso/Hosting-1044242225737584680/original/fd2ec1f0-744c-4681-ad4b-e564deae2f24.jpeg" TargetMode="External"/><Relationship Id="rId151" Type="http://schemas.openxmlformats.org/officeDocument/2006/relationships/hyperlink" Target="https://www.airbnb.com/rooms/1044242225737584680" TargetMode="External"/><Relationship Id="rId158" Type="http://schemas.openxmlformats.org/officeDocument/2006/relationships/hyperlink" Target="https://a0.muscache.com/im/pictures/miso/Hosting-1082504328835284038/original/57950173-b7a7-4bc1-be18-2bca189463d7.jpeg" TargetMode="External"/><Relationship Id="rId157" Type="http://schemas.openxmlformats.org/officeDocument/2006/relationships/hyperlink" Target="https://www.airbnb.com/rooms/1082504328835284038" TargetMode="External"/><Relationship Id="rId156" Type="http://schemas.openxmlformats.org/officeDocument/2006/relationships/hyperlink" Target="https://a0.muscache.com/im/pictures/prohost-api/Hosting-1076772379449561491/original/60accc6a-bf34-48a8-b7be-31042e4aa566.jpeg" TargetMode="External"/><Relationship Id="rId155" Type="http://schemas.openxmlformats.org/officeDocument/2006/relationships/hyperlink" Target="https://www.airbnb.com/rooms/1076772379449561491" TargetMode="External"/><Relationship Id="rId107" Type="http://schemas.openxmlformats.org/officeDocument/2006/relationships/hyperlink" Target="https://www.airbnb.com/rooms/797857967683345409" TargetMode="External"/><Relationship Id="rId106" Type="http://schemas.openxmlformats.org/officeDocument/2006/relationships/hyperlink" Target="https://a0.muscache.com/im/pictures/hosting/Hosting-754640601077328788/original/ae49dd97-08e5-4523-a8e7-f7b8cd20a58c.jpeg" TargetMode="External"/><Relationship Id="rId105" Type="http://schemas.openxmlformats.org/officeDocument/2006/relationships/hyperlink" Target="https://www.airbnb.com/rooms/754640601077328788" TargetMode="External"/><Relationship Id="rId104" Type="http://schemas.openxmlformats.org/officeDocument/2006/relationships/hyperlink" Target="https://a0.muscache.com/im/pictures/prohost-api/Hosting-735489792163477795/original/372912d6-e7e0-4da7-b43c-b12007a55e75.jpeg" TargetMode="External"/><Relationship Id="rId109" Type="http://schemas.openxmlformats.org/officeDocument/2006/relationships/hyperlink" Target="https://www.airbnb.com/rooms/816076951256804658" TargetMode="External"/><Relationship Id="rId108" Type="http://schemas.openxmlformats.org/officeDocument/2006/relationships/hyperlink" Target="https://a0.muscache.com/im/pictures/miso/Hosting-797857967683345409/original/065dde2a-e38c-4f0e-9823-84e5c9ff01fd.jpeg" TargetMode="External"/><Relationship Id="rId103" Type="http://schemas.openxmlformats.org/officeDocument/2006/relationships/hyperlink" Target="https://www.airbnb.com/rooms/735489792163477795" TargetMode="External"/><Relationship Id="rId102" Type="http://schemas.openxmlformats.org/officeDocument/2006/relationships/hyperlink" Target="https://a0.muscache.com/im/pictures/e0611d0e-eed3-4e73-8b37-afe34752a2ba.jpg" TargetMode="External"/><Relationship Id="rId101" Type="http://schemas.openxmlformats.org/officeDocument/2006/relationships/hyperlink" Target="https://www.airbnb.com/rooms/701569932332247135" TargetMode="External"/><Relationship Id="rId100" Type="http://schemas.openxmlformats.org/officeDocument/2006/relationships/hyperlink" Target="https://a0.muscache.com/im/pictures/miso/Hosting-700993890010540062/original/87668b68-802c-44d3-a252-e68edc83452a.jpeg" TargetMode="External"/><Relationship Id="rId217" Type="http://schemas.openxmlformats.org/officeDocument/2006/relationships/drawing" Target="../drawings/drawing1.xml"/><Relationship Id="rId216" Type="http://schemas.openxmlformats.org/officeDocument/2006/relationships/hyperlink" Target="https://media.vrbo.com/lodging/35000000/34460000/34456100/34456073/acad3dd4.jpg?impolicy=resizecrop&amp;rw=1200&amp;ra=fit" TargetMode="External"/><Relationship Id="rId215" Type="http://schemas.openxmlformats.org/officeDocument/2006/relationships/hyperlink" Target="https://www.vrbo.com/7444051ha" TargetMode="External"/><Relationship Id="rId214" Type="http://schemas.openxmlformats.org/officeDocument/2006/relationships/hyperlink" Target="https://media.vrbo.com/lodging/120000000/119500000/119492700/119492636/6a062e93.jpg?impolicy=resizecrop&amp;rw=1200&amp;ra=fit" TargetMode="External"/><Relationship Id="rId213" Type="http://schemas.openxmlformats.org/officeDocument/2006/relationships/hyperlink" Target="https://www.vrbo.com/20184410ha" TargetMode="External"/><Relationship Id="rId212" Type="http://schemas.openxmlformats.org/officeDocument/2006/relationships/hyperlink" Target="https://a0.muscache.com/im/pictures/prohost-api/Hosting-1608072107950817687/original/65fd406b-86e5-43fa-94fc-b425e4d93384.jpeg" TargetMode="External"/><Relationship Id="rId211" Type="http://schemas.openxmlformats.org/officeDocument/2006/relationships/hyperlink" Target="https://www.airbnb.com/rooms/1608072107950817687" TargetMode="External"/><Relationship Id="rId210" Type="http://schemas.openxmlformats.org/officeDocument/2006/relationships/hyperlink" Target="https://a0.muscache.com/im/pictures/hosting/Hosting-1562525010821052562/original/073c3503-b444-4b1f-a4df-4c9227bf1065.jpeg" TargetMode="External"/><Relationship Id="rId129" Type="http://schemas.openxmlformats.org/officeDocument/2006/relationships/hyperlink" Target="https://www.airbnb.com/rooms/952067803493309017" TargetMode="External"/><Relationship Id="rId128" Type="http://schemas.openxmlformats.org/officeDocument/2006/relationships/hyperlink" Target="https://a0.muscache.com/im/pictures/5bf7ed63-cafe-4414-8ac9-628060cdf3cb.jpg" TargetMode="External"/><Relationship Id="rId127" Type="http://schemas.openxmlformats.org/officeDocument/2006/relationships/hyperlink" Target="https://www.airbnb.com/rooms/945275980437255879" TargetMode="External"/><Relationship Id="rId126" Type="http://schemas.openxmlformats.org/officeDocument/2006/relationships/hyperlink" Target="https://a0.muscache.com/im/pictures/hosting/Hosting-U3RheVN1cHBseUxpc3Rpbmc6OTM4NTczMzQyNTQ2OTM2Mjkw/original/fba166a2-ccf6-42ec-bcbc-9aed2c2ddef6.jpeg" TargetMode="External"/><Relationship Id="rId121" Type="http://schemas.openxmlformats.org/officeDocument/2006/relationships/hyperlink" Target="https://www.airbnb.com/rooms/920343092251137382" TargetMode="External"/><Relationship Id="rId120" Type="http://schemas.openxmlformats.org/officeDocument/2006/relationships/hyperlink" Target="https://a0.muscache.com/im/pictures/hosting/Hosting-914663462653849348/original/1d8cf369-a697-457a-b672-69cfc357f0de.jpeg" TargetMode="External"/><Relationship Id="rId125" Type="http://schemas.openxmlformats.org/officeDocument/2006/relationships/hyperlink" Target="https://www.airbnb.com/rooms/938573342546936290" TargetMode="External"/><Relationship Id="rId124" Type="http://schemas.openxmlformats.org/officeDocument/2006/relationships/hyperlink" Target="https://a0.muscache.com/im/pictures/miso/Hosting-929629264064080022/original/8a1088c2-63ab-4438-91d6-a7caf373e343.jpeg" TargetMode="External"/><Relationship Id="rId123" Type="http://schemas.openxmlformats.org/officeDocument/2006/relationships/hyperlink" Target="https://www.airbnb.com/rooms/929629264064080022" TargetMode="External"/><Relationship Id="rId122" Type="http://schemas.openxmlformats.org/officeDocument/2006/relationships/hyperlink" Target="https://a0.muscache.com/im/pictures/prohost-api/Hosting-920343092251137382/original/9a1de6b1-006c-410d-bd9c-5c4d27885a6a.jpeg" TargetMode="External"/><Relationship Id="rId95" Type="http://schemas.openxmlformats.org/officeDocument/2006/relationships/hyperlink" Target="https://www.airbnb.com/rooms/673013074080525394" TargetMode="External"/><Relationship Id="rId94" Type="http://schemas.openxmlformats.org/officeDocument/2006/relationships/hyperlink" Target="https://a0.muscache.com/im/pictures/prohost-api/Hosting-665868898027104148/original/45318440-8bec-45b5-81f2-38d08275cebe.jpeg" TargetMode="External"/><Relationship Id="rId97" Type="http://schemas.openxmlformats.org/officeDocument/2006/relationships/hyperlink" Target="https://www.airbnb.com/rooms/699550848681796981" TargetMode="External"/><Relationship Id="rId96" Type="http://schemas.openxmlformats.org/officeDocument/2006/relationships/hyperlink" Target="https://a0.muscache.com/im/pictures/prohost-api/Hosting-673013074080525394/original/abf50dc3-2727-4973-a361-ff4cb0413207.jpeg" TargetMode="External"/><Relationship Id="rId99" Type="http://schemas.openxmlformats.org/officeDocument/2006/relationships/hyperlink" Target="https://www.airbnb.com/rooms/700993890010540062" TargetMode="External"/><Relationship Id="rId98" Type="http://schemas.openxmlformats.org/officeDocument/2006/relationships/hyperlink" Target="https://a0.muscache.com/im/pictures/hosting/Hosting-699550848681796981/original/085dbea2-8b3a-4603-badb-aeb35a11bdba.jpeg" TargetMode="External"/><Relationship Id="rId91" Type="http://schemas.openxmlformats.org/officeDocument/2006/relationships/hyperlink" Target="https://www.airbnb.com/rooms/652029010838901807" TargetMode="External"/><Relationship Id="rId90" Type="http://schemas.openxmlformats.org/officeDocument/2006/relationships/hyperlink" Target="https://a0.muscache.com/im/pictures/prohost-api/Hosting-641175771207855507/original/8572ea61-2750-4e42-b075-1c4ae010f37f.jpeg" TargetMode="External"/><Relationship Id="rId93" Type="http://schemas.openxmlformats.org/officeDocument/2006/relationships/hyperlink" Target="https://www.airbnb.com/rooms/665868898027104148" TargetMode="External"/><Relationship Id="rId92" Type="http://schemas.openxmlformats.org/officeDocument/2006/relationships/hyperlink" Target="https://a0.muscache.com/im/pictures/miso/Hosting-652029010838901807/original/ebf35115-ca28-4362-b6d8-8c90e9c48c89.jpeg" TargetMode="External"/><Relationship Id="rId118" Type="http://schemas.openxmlformats.org/officeDocument/2006/relationships/hyperlink" Target="https://a0.muscache.com/im/pictures/miso/Hosting-855275901818693856/original/09d7768d-0e3c-45e1-9d9a-109df98a06fe.jpeg" TargetMode="External"/><Relationship Id="rId117" Type="http://schemas.openxmlformats.org/officeDocument/2006/relationships/hyperlink" Target="https://www.airbnb.com/rooms/855275901818693856" TargetMode="External"/><Relationship Id="rId116" Type="http://schemas.openxmlformats.org/officeDocument/2006/relationships/hyperlink" Target="https://a0.muscache.com/im/pictures/prohost-api/Hosting-844047269479516327/original/60b6b4d2-bbf6-465a-b2f6-09b39b740247.jpeg" TargetMode="External"/><Relationship Id="rId115" Type="http://schemas.openxmlformats.org/officeDocument/2006/relationships/hyperlink" Target="https://www.airbnb.com/rooms/844047269479516327" TargetMode="External"/><Relationship Id="rId119" Type="http://schemas.openxmlformats.org/officeDocument/2006/relationships/hyperlink" Target="https://www.airbnb.com/rooms/914663462653849348" TargetMode="External"/><Relationship Id="rId110" Type="http://schemas.openxmlformats.org/officeDocument/2006/relationships/hyperlink" Target="https://a0.muscache.com/im/pictures/miso/Hosting-816076951256804658/original/2e33a798-25a2-4d38-9a13-9dd02ca145f7.jpeg" TargetMode="External"/><Relationship Id="rId114" Type="http://schemas.openxmlformats.org/officeDocument/2006/relationships/hyperlink" Target="https://a0.muscache.com/im/pictures/prohost-api/Hosting-838381304293741989/original/9bb40646-a96a-46df-953b-d14b9e9ac3c6.jpeg" TargetMode="External"/><Relationship Id="rId113" Type="http://schemas.openxmlformats.org/officeDocument/2006/relationships/hyperlink" Target="https://www.airbnb.com/rooms/838381304293741989" TargetMode="External"/><Relationship Id="rId112" Type="http://schemas.openxmlformats.org/officeDocument/2006/relationships/hyperlink" Target="https://a0.muscache.com/im/pictures/miso/Hosting-829056026651085409/original/3122a526-9f1b-470b-b346-598b247eab17.jpeg" TargetMode="External"/><Relationship Id="rId111" Type="http://schemas.openxmlformats.org/officeDocument/2006/relationships/hyperlink" Target="https://www.airbnb.com/rooms/829056026651085409" TargetMode="External"/><Relationship Id="rId206" Type="http://schemas.openxmlformats.org/officeDocument/2006/relationships/hyperlink" Target="https://a0.muscache.com/im/pictures/prohost-api/Hosting-1556544551395845973/original/6f98cbe0-96fd-4900-b9e0-11e73663aa0b.jpeg" TargetMode="External"/><Relationship Id="rId205" Type="http://schemas.openxmlformats.org/officeDocument/2006/relationships/hyperlink" Target="https://www.airbnb.com/rooms/1556544551395845973" TargetMode="External"/><Relationship Id="rId204" Type="http://schemas.openxmlformats.org/officeDocument/2006/relationships/hyperlink" Target="https://a0.muscache.com/im/pictures/hosting/Hosting-1543559640008490347/original/0b6f659f-b061-4c4e-9649-2c329d09a963.jpeg" TargetMode="External"/><Relationship Id="rId203" Type="http://schemas.openxmlformats.org/officeDocument/2006/relationships/hyperlink" Target="https://www.airbnb.com/rooms/1543559640008490347" TargetMode="External"/><Relationship Id="rId209" Type="http://schemas.openxmlformats.org/officeDocument/2006/relationships/hyperlink" Target="https://www.airbnb.com/rooms/1562525010821052562" TargetMode="External"/><Relationship Id="rId208" Type="http://schemas.openxmlformats.org/officeDocument/2006/relationships/hyperlink" Target="https://a0.muscache.com/im/pictures/prohost-api/Hosting-1558835932153726604/original/ff103dfa-a771-4b2a-a7cb-9deb54b3fcaa.jpeg" TargetMode="External"/><Relationship Id="rId207" Type="http://schemas.openxmlformats.org/officeDocument/2006/relationships/hyperlink" Target="https://www.airbnb.com/rooms/1558835932153726604" TargetMode="External"/><Relationship Id="rId202" Type="http://schemas.openxmlformats.org/officeDocument/2006/relationships/hyperlink" Target="https://a0.muscache.com/im/pictures/hosting/Hosting-1525540711616336372/original/ce68439d-2ce9-4298-8e53-ca12c54d3042.jpeg" TargetMode="External"/><Relationship Id="rId201" Type="http://schemas.openxmlformats.org/officeDocument/2006/relationships/hyperlink" Target="https://www.airbnb.com/rooms/1525540711616336372" TargetMode="External"/><Relationship Id="rId200" Type="http://schemas.openxmlformats.org/officeDocument/2006/relationships/hyperlink" Target="https://a0.muscache.com/im/pictures/hosting/Hosting-U3RheVN1cHBseUxpc3Rpbmc6MTUwODA3NzkyMjk1MjQyODU4NA==/original/ffa73d89-07e0-40ea-bff3-fe9cfbe905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1" max="5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D2" s="1">
        <v>165705.0</v>
      </c>
      <c r="E2" s="1">
        <v>312331.0</v>
      </c>
      <c r="F2" s="1">
        <v>1949.47</v>
      </c>
      <c r="G2" s="1">
        <v>65.38</v>
      </c>
      <c r="H2" s="1">
        <v>163.0</v>
      </c>
      <c r="I2" s="1">
        <v>6.0</v>
      </c>
      <c r="J2" s="1">
        <v>5.0</v>
      </c>
      <c r="K2" s="1">
        <v>18.0</v>
      </c>
      <c r="L2" s="1" t="b">
        <v>1</v>
      </c>
      <c r="M2" s="1" t="b">
        <v>0</v>
      </c>
      <c r="N2" s="1" t="b">
        <v>0</v>
      </c>
      <c r="O2" s="1" t="b">
        <v>1</v>
      </c>
      <c r="P2" s="1" t="b">
        <v>1</v>
      </c>
      <c r="Q2" s="1" t="b">
        <v>0</v>
      </c>
      <c r="R2" s="1" t="b">
        <v>1</v>
      </c>
      <c r="S2" s="1" t="s">
        <v>63</v>
      </c>
      <c r="T2" s="1" t="s">
        <v>64</v>
      </c>
      <c r="U2" s="1" t="s">
        <v>65</v>
      </c>
      <c r="V2" s="1">
        <v>5.0</v>
      </c>
      <c r="W2" s="1">
        <v>105.0</v>
      </c>
      <c r="X2" s="1">
        <v>3.0</v>
      </c>
      <c r="Y2" s="1">
        <v>1.0</v>
      </c>
      <c r="Z2" s="1" t="s">
        <v>66</v>
      </c>
      <c r="AA2" s="1" t="b">
        <v>0</v>
      </c>
      <c r="AB2" s="1">
        <v>800.0</v>
      </c>
      <c r="AC2" s="1" t="b">
        <v>1</v>
      </c>
      <c r="AD2" s="1">
        <v>85.0</v>
      </c>
      <c r="AE2" s="1">
        <v>15.0</v>
      </c>
      <c r="AF2" s="2">
        <v>46159.0</v>
      </c>
      <c r="AG2" s="1" t="s">
        <v>67</v>
      </c>
      <c r="AH2" s="1" t="s">
        <v>68</v>
      </c>
      <c r="AI2" s="1" t="s">
        <v>69</v>
      </c>
      <c r="AJ2" s="1" t="s">
        <v>70</v>
      </c>
      <c r="AK2" s="1">
        <v>32413.0</v>
      </c>
      <c r="AL2" s="1" t="s">
        <v>71</v>
      </c>
      <c r="AM2" s="1" t="s">
        <v>72</v>
      </c>
      <c r="AN2" s="3" t="s">
        <v>73</v>
      </c>
      <c r="AO2" s="3" t="s">
        <v>74</v>
      </c>
      <c r="AQ2" s="1">
        <v>168400.0</v>
      </c>
      <c r="AR2" s="1">
        <v>30.276056</v>
      </c>
      <c r="AS2" s="1">
        <v>-86.010139</v>
      </c>
      <c r="AT2" s="1">
        <v>54.76</v>
      </c>
      <c r="AU2" s="4">
        <f>AVERAGE($D$2:$D$1233)</f>
        <v>239740.3426</v>
      </c>
      <c r="AV2" s="1">
        <v>10.62</v>
      </c>
      <c r="AW2" s="4">
        <f>IFERROR(($AU1106-D1106)/$AU1106,0)</f>
        <v>0</v>
      </c>
      <c r="AX2" s="4">
        <f>$AU1106-D1106</f>
        <v>0</v>
      </c>
      <c r="AY2" s="1">
        <v>146626.0</v>
      </c>
      <c r="AZ2" s="1">
        <v>168400.0</v>
      </c>
      <c r="BA2" s="1" t="s">
        <v>62</v>
      </c>
    </row>
    <row r="3">
      <c r="A3" s="1" t="s">
        <v>75</v>
      </c>
      <c r="D3" s="1">
        <v>214058.0</v>
      </c>
      <c r="E3" s="1">
        <v>307282.0</v>
      </c>
      <c r="F3" s="1">
        <v>1928.45</v>
      </c>
      <c r="G3" s="1">
        <v>45.87</v>
      </c>
      <c r="H3" s="1">
        <v>286.0</v>
      </c>
      <c r="I3" s="1">
        <v>10.0</v>
      </c>
      <c r="J3" s="1">
        <v>7.0</v>
      </c>
      <c r="K3" s="1">
        <v>44.0</v>
      </c>
      <c r="L3" s="1" t="b">
        <v>1</v>
      </c>
      <c r="M3" s="1" t="b">
        <v>0</v>
      </c>
      <c r="N3" s="1" t="b">
        <v>0</v>
      </c>
      <c r="O3" s="1" t="b">
        <v>1</v>
      </c>
      <c r="P3" s="1" t="b">
        <v>1</v>
      </c>
      <c r="Q3" s="1" t="b">
        <v>0</v>
      </c>
      <c r="R3" s="1" t="b">
        <v>1</v>
      </c>
      <c r="S3" s="1" t="s">
        <v>63</v>
      </c>
      <c r="T3" s="1" t="s">
        <v>64</v>
      </c>
      <c r="U3" s="1" t="s">
        <v>65</v>
      </c>
      <c r="V3" s="1">
        <v>4.9</v>
      </c>
      <c r="W3" s="1">
        <v>151.0</v>
      </c>
      <c r="X3" s="1">
        <v>3.0</v>
      </c>
      <c r="Y3" s="1">
        <v>1.0</v>
      </c>
      <c r="Z3" s="1" t="s">
        <v>66</v>
      </c>
      <c r="AA3" s="1" t="b">
        <v>0</v>
      </c>
      <c r="AB3" s="1">
        <v>772.0</v>
      </c>
      <c r="AC3" s="1" t="b">
        <v>1</v>
      </c>
      <c r="AD3" s="1">
        <v>111.0</v>
      </c>
      <c r="AE3" s="1">
        <v>23.0</v>
      </c>
      <c r="AF3" s="2">
        <v>46157.0</v>
      </c>
      <c r="AG3" s="1" t="s">
        <v>67</v>
      </c>
      <c r="AH3" s="1" t="s">
        <v>76</v>
      </c>
      <c r="AI3" s="1" t="s">
        <v>76</v>
      </c>
      <c r="AJ3" s="1" t="s">
        <v>70</v>
      </c>
      <c r="AK3" s="1">
        <v>32550.0</v>
      </c>
      <c r="AL3" s="1" t="s">
        <v>71</v>
      </c>
      <c r="AM3" s="1" t="s">
        <v>72</v>
      </c>
      <c r="AN3" s="3" t="s">
        <v>77</v>
      </c>
      <c r="AO3" s="3" t="s">
        <v>78</v>
      </c>
      <c r="AQ3" s="1">
        <v>429585.0</v>
      </c>
      <c r="AR3" s="1">
        <v>30.372913</v>
      </c>
      <c r="AS3" s="1">
        <v>-86.347055</v>
      </c>
      <c r="AT3" s="1">
        <v>57.2</v>
      </c>
      <c r="AU3" s="4">
        <f>AVERAGE($D$2:$D$554)</f>
        <v>239740.3426</v>
      </c>
      <c r="AV3" s="1">
        <v>-11.33</v>
      </c>
      <c r="AW3" s="4">
        <f>IFERROR(($AU39-D39)/$AU39,0)</f>
        <v>0.2546227386</v>
      </c>
      <c r="AX3" s="4">
        <f>$AU39-D39</f>
        <v>61043.34259</v>
      </c>
      <c r="AY3" s="1">
        <v>93224.0</v>
      </c>
      <c r="AZ3" s="1">
        <v>429585.0</v>
      </c>
      <c r="BA3" s="1" t="s">
        <v>79</v>
      </c>
    </row>
    <row r="4">
      <c r="A4" s="1" t="s">
        <v>80</v>
      </c>
      <c r="D4" s="1">
        <v>1061066.0</v>
      </c>
      <c r="E4" s="1">
        <v>1112711.0</v>
      </c>
      <c r="F4" s="1">
        <v>5862.24</v>
      </c>
      <c r="G4" s="1">
        <v>52.01</v>
      </c>
      <c r="H4" s="1">
        <v>348.0</v>
      </c>
      <c r="I4" s="1">
        <v>11.0</v>
      </c>
      <c r="J4" s="1">
        <v>11.0</v>
      </c>
      <c r="K4" s="1">
        <v>30.0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  <c r="R4" s="1" t="b">
        <v>1</v>
      </c>
      <c r="S4" s="1" t="s">
        <v>63</v>
      </c>
      <c r="T4" s="1" t="s">
        <v>64</v>
      </c>
      <c r="U4" s="1" t="s">
        <v>65</v>
      </c>
      <c r="V4" s="1">
        <v>5.0</v>
      </c>
      <c r="W4" s="1">
        <v>45.0</v>
      </c>
      <c r="X4" s="1">
        <v>2.0</v>
      </c>
      <c r="Y4" s="1">
        <v>1.0</v>
      </c>
      <c r="Z4" s="1" t="s">
        <v>66</v>
      </c>
      <c r="AA4" s="1" t="b">
        <v>0</v>
      </c>
      <c r="AB4" s="1">
        <v>3500.0</v>
      </c>
      <c r="AC4" s="1" t="b">
        <v>0</v>
      </c>
      <c r="AD4" s="1">
        <v>181.0</v>
      </c>
      <c r="AE4" s="1">
        <v>30.0</v>
      </c>
      <c r="AF4" s="2">
        <v>46155.0</v>
      </c>
      <c r="AG4" s="1" t="s">
        <v>81</v>
      </c>
      <c r="AH4" s="1" t="s">
        <v>82</v>
      </c>
      <c r="AI4" s="1" t="s">
        <v>82</v>
      </c>
      <c r="AJ4" s="1" t="s">
        <v>70</v>
      </c>
      <c r="AK4" s="1">
        <v>33924.0</v>
      </c>
      <c r="AL4" s="1" t="s">
        <v>71</v>
      </c>
      <c r="AM4" s="1" t="s">
        <v>72</v>
      </c>
      <c r="AN4" s="3" t="s">
        <v>83</v>
      </c>
      <c r="AO4" s="3" t="s">
        <v>84</v>
      </c>
      <c r="AQ4" s="1">
        <v>475504.0</v>
      </c>
      <c r="AR4" s="1">
        <v>26.494657</v>
      </c>
      <c r="AS4" s="1">
        <v>-82.184485</v>
      </c>
      <c r="AT4" s="1">
        <v>52.23</v>
      </c>
      <c r="AU4" s="4">
        <f t="shared" ref="AU4:AU6" si="1">AVERAGE($D$2:$D$501)</f>
        <v>239740.3426</v>
      </c>
      <c r="AV4" s="1">
        <v>-0.22</v>
      </c>
      <c r="AW4" s="4">
        <f>IFERROR(($AU4-D4)/$AU4,0)</f>
        <v>-3.425896737</v>
      </c>
      <c r="AX4" s="4">
        <f>$AU4-D4</f>
        <v>-821325.6574</v>
      </c>
      <c r="AY4" s="1">
        <v>51645.0</v>
      </c>
      <c r="AZ4" s="1">
        <v>475504.0</v>
      </c>
      <c r="BA4" s="1" t="s">
        <v>80</v>
      </c>
    </row>
    <row r="5">
      <c r="A5" s="1" t="s">
        <v>85</v>
      </c>
      <c r="D5" s="1">
        <v>162295.0</v>
      </c>
      <c r="E5" s="1">
        <v>234988.0</v>
      </c>
      <c r="F5" s="1">
        <v>1363.82</v>
      </c>
      <c r="G5" s="1">
        <v>55.35</v>
      </c>
      <c r="H5" s="1">
        <v>226.0</v>
      </c>
      <c r="I5" s="1">
        <v>5.0</v>
      </c>
      <c r="J5" s="1">
        <v>5.0</v>
      </c>
      <c r="K5" s="1">
        <v>12.0</v>
      </c>
      <c r="L5" s="1" t="b">
        <v>1</v>
      </c>
      <c r="M5" s="1" t="b">
        <v>0</v>
      </c>
      <c r="N5" s="1" t="b">
        <v>0</v>
      </c>
      <c r="O5" s="1" t="b">
        <v>1</v>
      </c>
      <c r="P5" s="1" t="b">
        <v>1</v>
      </c>
      <c r="Q5" s="1" t="b">
        <v>0</v>
      </c>
      <c r="R5" s="1" t="b">
        <v>1</v>
      </c>
      <c r="S5" s="1" t="s">
        <v>63</v>
      </c>
      <c r="T5" s="1" t="s">
        <v>64</v>
      </c>
      <c r="U5" s="1" t="s">
        <v>65</v>
      </c>
      <c r="V5" s="1">
        <v>4.9</v>
      </c>
      <c r="W5" s="1">
        <v>170.0</v>
      </c>
      <c r="X5" s="1">
        <v>7.0</v>
      </c>
      <c r="Y5" s="1">
        <v>1.0</v>
      </c>
      <c r="Z5" s="1" t="s">
        <v>66</v>
      </c>
      <c r="AA5" s="1" t="b">
        <v>0</v>
      </c>
      <c r="AB5" s="1">
        <v>725.0</v>
      </c>
      <c r="AC5" s="1" t="b">
        <v>1</v>
      </c>
      <c r="AD5" s="1">
        <v>119.0</v>
      </c>
      <c r="AE5" s="1">
        <v>17.0</v>
      </c>
      <c r="AF5" s="2">
        <v>46159.0</v>
      </c>
      <c r="AG5" s="1" t="s">
        <v>81</v>
      </c>
      <c r="AH5" s="1" t="s">
        <v>82</v>
      </c>
      <c r="AI5" s="1" t="s">
        <v>82</v>
      </c>
      <c r="AJ5" s="1" t="s">
        <v>70</v>
      </c>
      <c r="AK5" s="1">
        <v>33924.0</v>
      </c>
      <c r="AL5" s="1" t="s">
        <v>71</v>
      </c>
      <c r="AM5" s="1" t="s">
        <v>72</v>
      </c>
      <c r="AN5" s="3" t="s">
        <v>86</v>
      </c>
      <c r="AO5" s="3" t="s">
        <v>87</v>
      </c>
      <c r="AQ5" s="1">
        <v>758594.0</v>
      </c>
      <c r="AR5" s="1">
        <v>26.595018</v>
      </c>
      <c r="AS5" s="1">
        <v>-82.223669</v>
      </c>
      <c r="AT5" s="1">
        <v>55.98</v>
      </c>
      <c r="AU5" s="4">
        <f t="shared" si="1"/>
        <v>239740.3426</v>
      </c>
      <c r="AV5" s="1">
        <v>-0.63</v>
      </c>
      <c r="AW5" s="4">
        <f>IFERROR(($AU31-D31)/$AU31,0)</f>
        <v>0.2895021415</v>
      </c>
      <c r="AX5" s="4">
        <f>$AU31-D31</f>
        <v>69405.34259</v>
      </c>
      <c r="AY5" s="1">
        <v>72693.0</v>
      </c>
      <c r="AZ5" s="1">
        <v>758594.0</v>
      </c>
      <c r="BA5" s="1" t="s">
        <v>85</v>
      </c>
    </row>
    <row r="6">
      <c r="A6" s="1" t="s">
        <v>88</v>
      </c>
      <c r="D6" s="1">
        <v>191380.0</v>
      </c>
      <c r="E6" s="1">
        <v>308191.0</v>
      </c>
      <c r="F6" s="1">
        <v>2990.31</v>
      </c>
      <c r="G6" s="1">
        <v>37.65</v>
      </c>
      <c r="H6" s="1">
        <v>307.0</v>
      </c>
      <c r="I6" s="1">
        <v>5.0</v>
      </c>
      <c r="J6" s="1">
        <v>5.0</v>
      </c>
      <c r="K6" s="1">
        <v>18.0</v>
      </c>
      <c r="L6" s="1" t="b">
        <v>1</v>
      </c>
      <c r="M6" s="1" t="b">
        <v>0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s">
        <v>63</v>
      </c>
      <c r="T6" s="1" t="s">
        <v>64</v>
      </c>
      <c r="U6" s="1" t="s">
        <v>65</v>
      </c>
      <c r="V6" s="1">
        <v>4.7</v>
      </c>
      <c r="W6" s="1">
        <v>37.0</v>
      </c>
      <c r="X6" s="1">
        <v>3.0</v>
      </c>
      <c r="Y6" s="1">
        <v>1.0</v>
      </c>
      <c r="Z6" s="1" t="s">
        <v>66</v>
      </c>
      <c r="AA6" s="1" t="b">
        <v>0</v>
      </c>
      <c r="AB6" s="1">
        <v>680.0</v>
      </c>
      <c r="AC6" s="1" t="b">
        <v>0</v>
      </c>
      <c r="AD6" s="1">
        <v>64.0</v>
      </c>
      <c r="AE6" s="1">
        <v>9.0</v>
      </c>
      <c r="AF6" s="2">
        <v>46156.0</v>
      </c>
      <c r="AG6" s="1" t="s">
        <v>81</v>
      </c>
      <c r="AH6" s="1" t="s">
        <v>82</v>
      </c>
      <c r="AI6" s="1" t="s">
        <v>82</v>
      </c>
      <c r="AJ6" s="1" t="s">
        <v>70</v>
      </c>
      <c r="AK6" s="1">
        <v>33924.0</v>
      </c>
      <c r="AL6" s="1" t="s">
        <v>71</v>
      </c>
      <c r="AM6" s="1" t="s">
        <v>72</v>
      </c>
      <c r="AN6" s="3" t="s">
        <v>89</v>
      </c>
      <c r="AO6" s="3" t="s">
        <v>90</v>
      </c>
      <c r="AQ6" s="1">
        <v>772868.0</v>
      </c>
      <c r="AR6" s="1">
        <v>26.522766</v>
      </c>
      <c r="AS6" s="1">
        <v>-82.190303</v>
      </c>
      <c r="AT6" s="1">
        <v>55.98</v>
      </c>
      <c r="AU6" s="4">
        <f t="shared" si="1"/>
        <v>239740.3426</v>
      </c>
      <c r="AV6" s="1">
        <v>-18.33</v>
      </c>
      <c r="AW6" s="4">
        <f>IFERROR(($AU22-D22)/$AU22,0)</f>
        <v>0.1842090577</v>
      </c>
      <c r="AX6" s="4">
        <f>$AU22-D22</f>
        <v>44162.34259</v>
      </c>
      <c r="AY6" s="1">
        <v>116811.0</v>
      </c>
      <c r="AZ6" s="1">
        <v>772868.0</v>
      </c>
      <c r="BA6" s="1" t="s">
        <v>88</v>
      </c>
    </row>
    <row r="7">
      <c r="A7" s="1" t="s">
        <v>91</v>
      </c>
      <c r="D7" s="1">
        <v>118445.0</v>
      </c>
      <c r="E7" s="1">
        <v>280290.0</v>
      </c>
      <c r="F7" s="1">
        <v>1850.7</v>
      </c>
      <c r="G7" s="1">
        <v>43.54</v>
      </c>
      <c r="H7" s="1">
        <v>204.0</v>
      </c>
      <c r="I7" s="1">
        <v>6.0</v>
      </c>
      <c r="J7" s="1">
        <v>6.0</v>
      </c>
      <c r="K7" s="1">
        <v>16.0</v>
      </c>
      <c r="L7" s="1" t="b">
        <v>1</v>
      </c>
      <c r="M7" s="1" t="b">
        <v>0</v>
      </c>
      <c r="N7" s="1" t="b">
        <v>1</v>
      </c>
      <c r="O7" s="1" t="b">
        <v>1</v>
      </c>
      <c r="P7" s="1" t="b">
        <v>1</v>
      </c>
      <c r="Q7" s="1" t="b">
        <v>0</v>
      </c>
      <c r="R7" s="1" t="b">
        <v>1</v>
      </c>
      <c r="S7" s="1" t="s">
        <v>63</v>
      </c>
      <c r="T7" s="1" t="s">
        <v>64</v>
      </c>
      <c r="U7" s="1" t="s">
        <v>65</v>
      </c>
      <c r="V7" s="1">
        <v>5.0</v>
      </c>
      <c r="W7" s="1">
        <v>33.0</v>
      </c>
      <c r="X7" s="1">
        <v>3.0</v>
      </c>
      <c r="Y7" s="1">
        <v>1.0</v>
      </c>
      <c r="Z7" s="1" t="s">
        <v>66</v>
      </c>
      <c r="AA7" s="1" t="b">
        <v>0</v>
      </c>
      <c r="AB7" s="1">
        <v>795.0</v>
      </c>
      <c r="AC7" s="1" t="b">
        <v>1</v>
      </c>
      <c r="AD7" s="1">
        <v>64.0</v>
      </c>
      <c r="AE7" s="1">
        <v>14.0</v>
      </c>
      <c r="AF7" s="2">
        <v>46158.0</v>
      </c>
      <c r="AG7" s="1" t="s">
        <v>92</v>
      </c>
      <c r="AH7" s="1" t="s">
        <v>93</v>
      </c>
      <c r="AI7" s="1" t="s">
        <v>94</v>
      </c>
      <c r="AJ7" s="1" t="s">
        <v>95</v>
      </c>
      <c r="AK7" s="1">
        <v>31561.0</v>
      </c>
      <c r="AL7" s="1" t="s">
        <v>71</v>
      </c>
      <c r="AM7" s="1" t="s">
        <v>72</v>
      </c>
      <c r="AN7" s="3" t="s">
        <v>96</v>
      </c>
      <c r="AO7" s="3" t="s">
        <v>97</v>
      </c>
      <c r="AQ7" s="1">
        <v>1091049.0</v>
      </c>
      <c r="AR7" s="1">
        <v>31.198731</v>
      </c>
      <c r="AS7" s="1">
        <v>-81.330922</v>
      </c>
      <c r="AT7" s="1">
        <v>52.55</v>
      </c>
      <c r="AU7" s="4">
        <f>AVERAGE($D$2:$D$1001)</f>
        <v>239740.3426</v>
      </c>
      <c r="AV7" s="1">
        <v>-9.01</v>
      </c>
      <c r="AW7" s="4">
        <f>IFERROR(($AU583-D583)/$AU583,0)</f>
        <v>0</v>
      </c>
      <c r="AX7" s="4">
        <f>$AU583-D583</f>
        <v>0</v>
      </c>
      <c r="AY7" s="1">
        <v>161845.0</v>
      </c>
      <c r="AZ7" s="1">
        <v>1091049.0</v>
      </c>
      <c r="BA7" s="1" t="s">
        <v>91</v>
      </c>
    </row>
    <row r="8">
      <c r="A8" s="1" t="s">
        <v>98</v>
      </c>
      <c r="D8" s="1">
        <v>268761.0</v>
      </c>
      <c r="E8" s="1">
        <v>438427.0</v>
      </c>
      <c r="F8" s="1">
        <v>2133.02</v>
      </c>
      <c r="G8" s="1">
        <v>71.59</v>
      </c>
      <c r="H8" s="1">
        <v>209.0</v>
      </c>
      <c r="I8" s="1">
        <v>7.0</v>
      </c>
      <c r="J8" s="1">
        <v>6.0</v>
      </c>
      <c r="K8" s="1">
        <v>20.0</v>
      </c>
      <c r="L8" s="1" t="b">
        <v>1</v>
      </c>
      <c r="M8" s="1" t="b">
        <v>0</v>
      </c>
      <c r="N8" s="1" t="b">
        <v>0</v>
      </c>
      <c r="O8" s="1" t="b">
        <v>1</v>
      </c>
      <c r="P8" s="1" t="b">
        <v>1</v>
      </c>
      <c r="Q8" s="1" t="b">
        <v>0</v>
      </c>
      <c r="R8" s="1" t="b">
        <v>1</v>
      </c>
      <c r="S8" s="1" t="s">
        <v>63</v>
      </c>
      <c r="T8" s="1" t="s">
        <v>64</v>
      </c>
      <c r="U8" s="1" t="s">
        <v>65</v>
      </c>
      <c r="V8" s="1">
        <v>5.0</v>
      </c>
      <c r="W8" s="1">
        <v>45.0</v>
      </c>
      <c r="X8" s="1">
        <v>3.0</v>
      </c>
      <c r="Y8" s="1">
        <v>1.0</v>
      </c>
      <c r="Z8" s="1" t="s">
        <v>66</v>
      </c>
      <c r="AA8" s="1" t="b">
        <v>0</v>
      </c>
      <c r="AB8" s="1">
        <v>995.0</v>
      </c>
      <c r="AC8" s="1" t="b">
        <v>1</v>
      </c>
      <c r="AD8" s="1">
        <v>126.0</v>
      </c>
      <c r="AE8" s="1">
        <v>22.0</v>
      </c>
      <c r="AF8" s="2">
        <v>46157.0</v>
      </c>
      <c r="AG8" s="1" t="s">
        <v>67</v>
      </c>
      <c r="AH8" s="1" t="s">
        <v>68</v>
      </c>
      <c r="AI8" s="1" t="s">
        <v>69</v>
      </c>
      <c r="AJ8" s="1" t="s">
        <v>70</v>
      </c>
      <c r="AK8" s="1">
        <v>32413.0</v>
      </c>
      <c r="AL8" s="1" t="s">
        <v>71</v>
      </c>
      <c r="AM8" s="1" t="s">
        <v>72</v>
      </c>
      <c r="AN8" s="3" t="s">
        <v>99</v>
      </c>
      <c r="AO8" s="3" t="s">
        <v>100</v>
      </c>
      <c r="AQ8" s="1">
        <v>1465539.0</v>
      </c>
      <c r="AR8" s="1">
        <v>30.27414</v>
      </c>
      <c r="AS8" s="1">
        <v>-86.002779</v>
      </c>
      <c r="AT8" s="1">
        <v>54.21</v>
      </c>
      <c r="AU8" s="4">
        <f>AVERAGE($D$2:$D$1233)</f>
        <v>239740.3426</v>
      </c>
      <c r="AV8" s="1">
        <v>17.38</v>
      </c>
      <c r="AW8" s="4">
        <f>IFERROR(($AU1049-D1049)/$AU1049,0)</f>
        <v>0</v>
      </c>
      <c r="AX8" s="4">
        <f>$AU1049-D1049</f>
        <v>0</v>
      </c>
      <c r="AY8" s="1">
        <v>169666.0</v>
      </c>
      <c r="AZ8" s="1">
        <v>1465539.0</v>
      </c>
      <c r="BA8" s="1" t="s">
        <v>98</v>
      </c>
    </row>
    <row r="9">
      <c r="A9" s="1" t="s">
        <v>101</v>
      </c>
      <c r="D9" s="1">
        <v>103956.0</v>
      </c>
      <c r="E9" s="1">
        <v>113791.0</v>
      </c>
      <c r="F9" s="1">
        <v>1315.9</v>
      </c>
      <c r="G9" s="1">
        <v>27.43</v>
      </c>
      <c r="H9" s="1">
        <v>349.0</v>
      </c>
      <c r="I9" s="1">
        <v>6.0</v>
      </c>
      <c r="J9" s="1">
        <v>5.0</v>
      </c>
      <c r="K9" s="1">
        <v>22.0</v>
      </c>
      <c r="L9" s="1" t="b">
        <v>1</v>
      </c>
      <c r="M9" s="1" t="b">
        <v>0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s">
        <v>63</v>
      </c>
      <c r="T9" s="1" t="s">
        <v>64</v>
      </c>
      <c r="U9" s="1" t="s">
        <v>65</v>
      </c>
      <c r="V9" s="1">
        <v>5.0</v>
      </c>
      <c r="W9" s="1">
        <v>89.0</v>
      </c>
      <c r="X9" s="1">
        <v>2.0</v>
      </c>
      <c r="Y9" s="1">
        <v>1.0</v>
      </c>
      <c r="Z9" s="1" t="s">
        <v>66</v>
      </c>
      <c r="AA9" s="1" t="b">
        <v>0</v>
      </c>
      <c r="AB9" s="1">
        <v>373.0</v>
      </c>
      <c r="AC9" s="1" t="b">
        <v>1</v>
      </c>
      <c r="AD9" s="1">
        <v>79.0</v>
      </c>
      <c r="AE9" s="1">
        <v>26.0</v>
      </c>
      <c r="AF9" s="2">
        <v>46159.0</v>
      </c>
      <c r="AG9" s="1" t="s">
        <v>102</v>
      </c>
      <c r="AH9" s="1" t="s">
        <v>103</v>
      </c>
      <c r="AI9" s="1" t="s">
        <v>103</v>
      </c>
      <c r="AJ9" s="1" t="s">
        <v>104</v>
      </c>
      <c r="AK9" s="1">
        <v>77650.0</v>
      </c>
      <c r="AL9" s="1" t="s">
        <v>71</v>
      </c>
      <c r="AM9" s="1" t="s">
        <v>72</v>
      </c>
      <c r="AN9" s="3" t="s">
        <v>105</v>
      </c>
      <c r="AO9" s="3" t="s">
        <v>106</v>
      </c>
      <c r="AQ9" s="1">
        <v>1802763.0</v>
      </c>
      <c r="AR9" s="1">
        <v>29.47213</v>
      </c>
      <c r="AS9" s="1">
        <v>-94.59269</v>
      </c>
      <c r="AT9" s="1">
        <v>38.4</v>
      </c>
      <c r="AU9" s="4">
        <f t="shared" ref="AU9:AU11" si="2">AVERAGE($D$2:$D$830)</f>
        <v>239740.3426</v>
      </c>
      <c r="AV9" s="1">
        <v>-10.97</v>
      </c>
      <c r="AW9" s="4">
        <f>IFERROR(($AU116-D116)/$AU116,0)</f>
        <v>0</v>
      </c>
      <c r="AX9" s="4">
        <f>$AU116-D116</f>
        <v>0</v>
      </c>
      <c r="AY9" s="1">
        <v>9835.0</v>
      </c>
      <c r="AZ9" s="1">
        <v>1802763.0</v>
      </c>
      <c r="BA9" s="1" t="s">
        <v>101</v>
      </c>
    </row>
    <row r="10">
      <c r="A10" s="1" t="s">
        <v>107</v>
      </c>
      <c r="D10" s="1">
        <v>148379.0</v>
      </c>
      <c r="E10" s="1">
        <v>170155.0</v>
      </c>
      <c r="F10" s="1">
        <v>1226.27</v>
      </c>
      <c r="G10" s="1">
        <v>41.02</v>
      </c>
      <c r="H10" s="1">
        <v>326.0</v>
      </c>
      <c r="I10" s="1">
        <v>6.0</v>
      </c>
      <c r="J10" s="1">
        <v>5.0</v>
      </c>
      <c r="K10" s="1">
        <v>22.0</v>
      </c>
      <c r="L10" s="1" t="b">
        <v>1</v>
      </c>
      <c r="M10" s="1" t="b">
        <v>0</v>
      </c>
      <c r="N10" s="1" t="b">
        <v>0</v>
      </c>
      <c r="O10" s="1" t="b">
        <v>1</v>
      </c>
      <c r="P10" s="1" t="b">
        <v>1</v>
      </c>
      <c r="Q10" s="1" t="b">
        <v>1</v>
      </c>
      <c r="R10" s="1" t="b">
        <v>1</v>
      </c>
      <c r="S10" s="1" t="s">
        <v>63</v>
      </c>
      <c r="T10" s="1" t="s">
        <v>64</v>
      </c>
      <c r="U10" s="1" t="s">
        <v>65</v>
      </c>
      <c r="V10" s="1">
        <v>5.0</v>
      </c>
      <c r="W10" s="1">
        <v>100.0</v>
      </c>
      <c r="X10" s="1">
        <v>2.0</v>
      </c>
      <c r="Y10" s="1">
        <v>1.0</v>
      </c>
      <c r="Z10" s="1" t="s">
        <v>66</v>
      </c>
      <c r="AA10" s="1" t="b">
        <v>0</v>
      </c>
      <c r="AB10" s="1">
        <v>375.0</v>
      </c>
      <c r="AC10" s="1" t="b">
        <v>1</v>
      </c>
      <c r="AD10" s="1">
        <v>121.0</v>
      </c>
      <c r="AE10" s="1">
        <v>34.0</v>
      </c>
      <c r="AF10" s="2">
        <v>46158.0</v>
      </c>
      <c r="AG10" s="1" t="s">
        <v>102</v>
      </c>
      <c r="AH10" s="1" t="s">
        <v>103</v>
      </c>
      <c r="AI10" s="1" t="s">
        <v>103</v>
      </c>
      <c r="AJ10" s="1" t="s">
        <v>104</v>
      </c>
      <c r="AK10" s="1">
        <v>77650.0</v>
      </c>
      <c r="AL10" s="1" t="s">
        <v>71</v>
      </c>
      <c r="AM10" s="1" t="s">
        <v>72</v>
      </c>
      <c r="AN10" s="3" t="s">
        <v>108</v>
      </c>
      <c r="AO10" s="3" t="s">
        <v>109</v>
      </c>
      <c r="AQ10" s="1">
        <v>1962198.0</v>
      </c>
      <c r="AR10" s="1">
        <v>29.453376</v>
      </c>
      <c r="AS10" s="1">
        <v>-94.632304</v>
      </c>
      <c r="AT10" s="1">
        <v>38.4</v>
      </c>
      <c r="AU10" s="4">
        <f t="shared" si="2"/>
        <v>239740.3426</v>
      </c>
      <c r="AV10" s="1">
        <v>2.62</v>
      </c>
      <c r="AW10" s="4">
        <f>IFERROR(($AU50-D50)/$AU50,0)</f>
        <v>0.1327784145</v>
      </c>
      <c r="AX10" s="4">
        <f>$AU50-D50</f>
        <v>31832.34259</v>
      </c>
      <c r="AY10" s="1">
        <v>21776.0</v>
      </c>
      <c r="AZ10" s="1">
        <v>1962198.0</v>
      </c>
      <c r="BA10" s="1" t="s">
        <v>107</v>
      </c>
    </row>
    <row r="11">
      <c r="A11" s="1" t="s">
        <v>110</v>
      </c>
      <c r="D11" s="1">
        <v>117326.0</v>
      </c>
      <c r="E11" s="1">
        <v>170740.0</v>
      </c>
      <c r="F11" s="1">
        <v>1289.3</v>
      </c>
      <c r="G11" s="1">
        <v>49.19</v>
      </c>
      <c r="H11" s="1">
        <v>274.0</v>
      </c>
      <c r="I11" s="1">
        <v>5.0</v>
      </c>
      <c r="J11" s="1">
        <v>5.0</v>
      </c>
      <c r="K11" s="1">
        <v>20.0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0</v>
      </c>
      <c r="R11" s="1" t="b">
        <v>1</v>
      </c>
      <c r="S11" s="1" t="s">
        <v>63</v>
      </c>
      <c r="T11" s="1" t="s">
        <v>64</v>
      </c>
      <c r="U11" s="1" t="s">
        <v>65</v>
      </c>
      <c r="V11" s="1">
        <v>5.0</v>
      </c>
      <c r="W11" s="1">
        <v>143.0</v>
      </c>
      <c r="X11" s="1">
        <v>3.0</v>
      </c>
      <c r="Y11" s="1">
        <v>1.0</v>
      </c>
      <c r="Z11" s="1" t="s">
        <v>66</v>
      </c>
      <c r="AA11" s="1" t="b">
        <v>0</v>
      </c>
      <c r="AB11" s="1">
        <v>390.0</v>
      </c>
      <c r="AC11" s="1" t="b">
        <v>1</v>
      </c>
      <c r="AD11" s="1">
        <v>91.0</v>
      </c>
      <c r="AE11" s="1">
        <v>21.0</v>
      </c>
      <c r="AF11" s="2">
        <v>46157.0</v>
      </c>
      <c r="AG11" s="1" t="s">
        <v>102</v>
      </c>
      <c r="AH11" s="1" t="s">
        <v>102</v>
      </c>
      <c r="AI11" s="1" t="s">
        <v>102</v>
      </c>
      <c r="AJ11" s="1" t="s">
        <v>104</v>
      </c>
      <c r="AK11" s="1">
        <v>77554.0</v>
      </c>
      <c r="AL11" s="1" t="s">
        <v>71</v>
      </c>
      <c r="AM11" s="1" t="s">
        <v>72</v>
      </c>
      <c r="AN11" s="3" t="s">
        <v>111</v>
      </c>
      <c r="AO11" s="3" t="s">
        <v>112</v>
      </c>
      <c r="AQ11" s="1">
        <v>2089225.0</v>
      </c>
      <c r="AR11" s="1">
        <v>29.106103</v>
      </c>
      <c r="AS11" s="1">
        <v>-95.092022</v>
      </c>
      <c r="AT11" s="1">
        <v>45.23</v>
      </c>
      <c r="AU11" s="4">
        <f t="shared" si="2"/>
        <v>239740.3426</v>
      </c>
      <c r="AV11" s="1">
        <v>3.96</v>
      </c>
      <c r="AW11" s="4">
        <f>IFERROR(($AU85-D85)/$AU85,0)</f>
        <v>0.0840381822</v>
      </c>
      <c r="AX11" s="4">
        <f>$AU85-D85</f>
        <v>20147.34259</v>
      </c>
      <c r="AY11" s="1">
        <v>53414.0</v>
      </c>
      <c r="AZ11" s="1">
        <v>2089225.0</v>
      </c>
      <c r="BA11" s="1" t="s">
        <v>110</v>
      </c>
    </row>
    <row r="12">
      <c r="A12" s="1" t="s">
        <v>113</v>
      </c>
      <c r="D12" s="1">
        <v>176354.0</v>
      </c>
      <c r="E12" s="1">
        <v>199728.0</v>
      </c>
      <c r="F12" s="1">
        <v>1410.83</v>
      </c>
      <c r="G12" s="1">
        <v>45.29</v>
      </c>
      <c r="H12" s="1">
        <v>325.0</v>
      </c>
      <c r="I12" s="1">
        <v>5.0</v>
      </c>
      <c r="J12" s="1">
        <v>5.0</v>
      </c>
      <c r="K12" s="1">
        <v>12.0</v>
      </c>
      <c r="L12" s="1" t="b">
        <v>1</v>
      </c>
      <c r="M12" s="1" t="b">
        <v>0</v>
      </c>
      <c r="N12" s="1" t="b">
        <v>1</v>
      </c>
      <c r="O12" s="1" t="b">
        <v>1</v>
      </c>
      <c r="P12" s="1" t="b">
        <v>1</v>
      </c>
      <c r="Q12" s="1" t="b">
        <v>0</v>
      </c>
      <c r="R12" s="1" t="b">
        <v>1</v>
      </c>
      <c r="S12" s="1" t="s">
        <v>63</v>
      </c>
      <c r="T12" s="1" t="s">
        <v>64</v>
      </c>
      <c r="U12" s="1" t="s">
        <v>65</v>
      </c>
      <c r="V12" s="1">
        <v>5.0</v>
      </c>
      <c r="W12" s="1">
        <v>42.0</v>
      </c>
      <c r="X12" s="1">
        <v>7.0</v>
      </c>
      <c r="Y12" s="1">
        <v>1.0</v>
      </c>
      <c r="Z12" s="1" t="s">
        <v>66</v>
      </c>
      <c r="AA12" s="1" t="b">
        <v>0</v>
      </c>
      <c r="AB12" s="1">
        <v>500.0</v>
      </c>
      <c r="AC12" s="1" t="b">
        <v>0</v>
      </c>
      <c r="AD12" s="1">
        <v>125.0</v>
      </c>
      <c r="AE12" s="1">
        <v>18.0</v>
      </c>
      <c r="AF12" s="2">
        <v>46159.0</v>
      </c>
      <c r="AG12" s="1" t="s">
        <v>81</v>
      </c>
      <c r="AH12" s="1" t="s">
        <v>82</v>
      </c>
      <c r="AI12" s="1" t="s">
        <v>82</v>
      </c>
      <c r="AJ12" s="1" t="s">
        <v>70</v>
      </c>
      <c r="AK12" s="1">
        <v>33924.0</v>
      </c>
      <c r="AL12" s="1" t="s">
        <v>71</v>
      </c>
      <c r="AM12" s="1" t="s">
        <v>72</v>
      </c>
      <c r="AN12" s="3" t="s">
        <v>114</v>
      </c>
      <c r="AO12" s="3" t="s">
        <v>115</v>
      </c>
      <c r="AQ12" s="1">
        <v>2261142.0</v>
      </c>
      <c r="AR12" s="1">
        <v>26.522316</v>
      </c>
      <c r="AS12" s="1">
        <v>-82.191352</v>
      </c>
      <c r="AT12" s="1">
        <v>55.98</v>
      </c>
      <c r="AU12" s="4">
        <f t="shared" ref="AU12:AU13" si="3">AVERAGE($D$2:$D$501)</f>
        <v>239740.3426</v>
      </c>
      <c r="AV12" s="1">
        <v>-10.69</v>
      </c>
      <c r="AW12" s="4">
        <f>IFERROR(($AU27-D27)/$AU27,0)</f>
        <v>0.2629984671</v>
      </c>
      <c r="AX12" s="4">
        <f>$AU27-D27</f>
        <v>63051.34259</v>
      </c>
      <c r="AY12" s="1">
        <v>23374.0</v>
      </c>
      <c r="AZ12" s="1">
        <v>2261142.0</v>
      </c>
      <c r="BA12" s="1" t="s">
        <v>113</v>
      </c>
    </row>
    <row r="13">
      <c r="A13" s="1" t="s">
        <v>116</v>
      </c>
      <c r="B13" s="1">
        <v>1.2270751E7</v>
      </c>
      <c r="D13" s="1">
        <v>1094093.0</v>
      </c>
      <c r="E13" s="1">
        <v>1252766.0</v>
      </c>
      <c r="F13" s="1">
        <v>6287.89</v>
      </c>
      <c r="G13" s="1">
        <v>54.55</v>
      </c>
      <c r="H13" s="1">
        <v>319.0</v>
      </c>
      <c r="I13" s="1">
        <v>11.0</v>
      </c>
      <c r="J13" s="1">
        <v>9.0</v>
      </c>
      <c r="K13" s="1">
        <v>16.0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1</v>
      </c>
      <c r="S13" s="1" t="s">
        <v>63</v>
      </c>
      <c r="T13" s="1" t="s">
        <v>117</v>
      </c>
      <c r="U13" s="1" t="s">
        <v>65</v>
      </c>
      <c r="V13" s="1">
        <v>5.0</v>
      </c>
      <c r="W13" s="1">
        <v>3.0</v>
      </c>
      <c r="X13" s="1">
        <v>3.0</v>
      </c>
      <c r="Y13" s="5">
        <v>46193.0</v>
      </c>
      <c r="Z13" s="1" t="s">
        <v>66</v>
      </c>
      <c r="AA13" s="1" t="b">
        <v>0</v>
      </c>
      <c r="AB13" s="1">
        <v>2800.0</v>
      </c>
      <c r="AC13" s="1" t="b">
        <v>0</v>
      </c>
      <c r="AD13" s="1">
        <v>174.0</v>
      </c>
      <c r="AE13" s="1">
        <v>28.0</v>
      </c>
      <c r="AF13" s="2">
        <v>46156.0</v>
      </c>
      <c r="AG13" s="1" t="s">
        <v>81</v>
      </c>
      <c r="AH13" s="1" t="s">
        <v>82</v>
      </c>
      <c r="AI13" s="1" t="s">
        <v>82</v>
      </c>
      <c r="AJ13" s="1" t="s">
        <v>70</v>
      </c>
      <c r="AK13" s="1">
        <v>33924.0</v>
      </c>
      <c r="AL13" s="1" t="s">
        <v>71</v>
      </c>
      <c r="AM13" s="1" t="s">
        <v>72</v>
      </c>
      <c r="AN13" s="3" t="s">
        <v>118</v>
      </c>
      <c r="AO13" s="3" t="s">
        <v>119</v>
      </c>
      <c r="AP13" s="1">
        <v>2401153.0</v>
      </c>
      <c r="AR13" s="1">
        <v>26.49503</v>
      </c>
      <c r="AS13" s="1">
        <v>-82.183</v>
      </c>
      <c r="AT13" s="1">
        <v>52.23</v>
      </c>
      <c r="AU13" s="4">
        <f t="shared" si="3"/>
        <v>239740.3426</v>
      </c>
      <c r="AV13" s="1">
        <v>2.32</v>
      </c>
      <c r="AW13" s="4">
        <f>IFERROR(($AU3-D3)/$AU3,0)</f>
        <v>0.1071256607</v>
      </c>
      <c r="AX13" s="4">
        <f>$AU3-D3</f>
        <v>25682.34259</v>
      </c>
      <c r="AY13" s="1">
        <v>158673.0</v>
      </c>
      <c r="AZ13" s="1">
        <v>2401153.0</v>
      </c>
      <c r="BA13" s="1" t="s">
        <v>116</v>
      </c>
    </row>
    <row r="14">
      <c r="A14" s="1" t="s">
        <v>120</v>
      </c>
      <c r="D14" s="1">
        <v>134008.0</v>
      </c>
      <c r="E14" s="1">
        <v>154859.0</v>
      </c>
      <c r="F14" s="1">
        <v>1207.28</v>
      </c>
      <c r="G14" s="1">
        <v>44.4</v>
      </c>
      <c r="H14" s="1">
        <v>307.0</v>
      </c>
      <c r="I14" s="1">
        <v>5.0</v>
      </c>
      <c r="J14" s="1">
        <v>5.0</v>
      </c>
      <c r="K14" s="1">
        <v>18.0</v>
      </c>
      <c r="L14" s="1" t="b">
        <v>1</v>
      </c>
      <c r="M14" s="1" t="b">
        <v>0</v>
      </c>
      <c r="N14" s="1" t="b">
        <v>1</v>
      </c>
      <c r="O14" s="1" t="b">
        <v>1</v>
      </c>
      <c r="P14" s="1" t="b">
        <v>1</v>
      </c>
      <c r="Q14" s="1" t="b">
        <v>1</v>
      </c>
      <c r="R14" s="1" t="b">
        <v>1</v>
      </c>
      <c r="S14" s="1" t="s">
        <v>63</v>
      </c>
      <c r="T14" s="1" t="s">
        <v>64</v>
      </c>
      <c r="U14" s="1" t="s">
        <v>65</v>
      </c>
      <c r="V14" s="1">
        <v>5.0</v>
      </c>
      <c r="W14" s="1">
        <v>67.0</v>
      </c>
      <c r="X14" s="1">
        <v>3.0</v>
      </c>
      <c r="Y14" s="1">
        <v>1.0</v>
      </c>
      <c r="Z14" s="1" t="s">
        <v>66</v>
      </c>
      <c r="AA14" s="1" t="b">
        <v>0</v>
      </c>
      <c r="AB14" s="1">
        <v>375.0</v>
      </c>
      <c r="AC14" s="1" t="b">
        <v>1</v>
      </c>
      <c r="AD14" s="1">
        <v>111.0</v>
      </c>
      <c r="AE14" s="1">
        <v>27.0</v>
      </c>
      <c r="AF14" s="2">
        <v>46157.0</v>
      </c>
      <c r="AG14" s="1" t="s">
        <v>102</v>
      </c>
      <c r="AH14" s="1" t="s">
        <v>103</v>
      </c>
      <c r="AI14" s="1" t="s">
        <v>103</v>
      </c>
      <c r="AJ14" s="1" t="s">
        <v>104</v>
      </c>
      <c r="AK14" s="1">
        <v>77650.0</v>
      </c>
      <c r="AL14" s="1" t="s">
        <v>71</v>
      </c>
      <c r="AM14" s="1" t="s">
        <v>72</v>
      </c>
      <c r="AN14" s="3" t="s">
        <v>121</v>
      </c>
      <c r="AO14" s="3" t="s">
        <v>122</v>
      </c>
      <c r="AQ14" s="1">
        <v>2452610.0</v>
      </c>
      <c r="AR14" s="1">
        <v>29.427839</v>
      </c>
      <c r="AS14" s="1">
        <v>-94.677273</v>
      </c>
      <c r="AT14" s="1">
        <v>45.23</v>
      </c>
      <c r="AU14" s="4">
        <f>AVERAGE($D$2:$D$830)</f>
        <v>239740.3426</v>
      </c>
      <c r="AV14" s="1">
        <v>-0.83</v>
      </c>
      <c r="AW14" s="4">
        <f>IFERROR(($AU66-D66)/$AU66,0)</f>
        <v>0.5653255565</v>
      </c>
      <c r="AX14" s="4">
        <f>$AU66-D66</f>
        <v>135531.3426</v>
      </c>
      <c r="AY14" s="1">
        <v>20851.0</v>
      </c>
      <c r="AZ14" s="1">
        <v>2452610.0</v>
      </c>
      <c r="BA14" s="1" t="s">
        <v>120</v>
      </c>
    </row>
    <row r="15">
      <c r="A15" s="1" t="s">
        <v>123</v>
      </c>
      <c r="D15" s="1">
        <v>120853.0</v>
      </c>
      <c r="E15" s="1">
        <v>212614.0</v>
      </c>
      <c r="F15" s="1">
        <v>1233.19</v>
      </c>
      <c r="G15" s="1">
        <v>45.58</v>
      </c>
      <c r="H15" s="1">
        <v>244.0</v>
      </c>
      <c r="I15" s="1">
        <v>5.0</v>
      </c>
      <c r="J15" s="1">
        <v>5.0</v>
      </c>
      <c r="K15" s="1">
        <v>17.0</v>
      </c>
      <c r="L15" s="1" t="b">
        <v>1</v>
      </c>
      <c r="M15" s="1" t="b">
        <v>0</v>
      </c>
      <c r="N15" s="1" t="b">
        <v>0</v>
      </c>
      <c r="O15" s="1" t="b">
        <v>1</v>
      </c>
      <c r="P15" s="1" t="b">
        <v>1</v>
      </c>
      <c r="Q15" s="1" t="b">
        <v>0</v>
      </c>
      <c r="R15" s="1" t="b">
        <v>1</v>
      </c>
      <c r="S15" s="1" t="s">
        <v>63</v>
      </c>
      <c r="T15" s="1" t="s">
        <v>64</v>
      </c>
      <c r="U15" s="1" t="s">
        <v>65</v>
      </c>
      <c r="V15" s="1">
        <v>4.5</v>
      </c>
      <c r="W15" s="1">
        <v>14.0</v>
      </c>
      <c r="X15" s="1">
        <v>7.0</v>
      </c>
      <c r="Y15" s="1">
        <v>1.0</v>
      </c>
      <c r="Z15" s="1" t="s">
        <v>66</v>
      </c>
      <c r="AA15" s="1" t="b">
        <v>0</v>
      </c>
      <c r="AB15" s="1">
        <v>700.0</v>
      </c>
      <c r="AC15" s="1" t="b">
        <v>1</v>
      </c>
      <c r="AD15" s="1">
        <v>98.0</v>
      </c>
      <c r="AE15" s="1">
        <v>15.0</v>
      </c>
      <c r="AF15" s="2">
        <v>46156.0</v>
      </c>
      <c r="AG15" s="1" t="s">
        <v>81</v>
      </c>
      <c r="AH15" s="1" t="s">
        <v>82</v>
      </c>
      <c r="AI15" s="1" t="s">
        <v>82</v>
      </c>
      <c r="AJ15" s="1" t="s">
        <v>70</v>
      </c>
      <c r="AK15" s="1">
        <v>33924.0</v>
      </c>
      <c r="AL15" s="1" t="s">
        <v>71</v>
      </c>
      <c r="AM15" s="1" t="s">
        <v>72</v>
      </c>
      <c r="AN15" s="3" t="s">
        <v>124</v>
      </c>
      <c r="AO15" s="3" t="s">
        <v>125</v>
      </c>
      <c r="AQ15" s="1">
        <v>2845710.0</v>
      </c>
      <c r="AR15" s="1">
        <v>26.595443</v>
      </c>
      <c r="AS15" s="1">
        <v>-82.223416</v>
      </c>
      <c r="AT15" s="1">
        <v>55.98</v>
      </c>
      <c r="AU15" s="4">
        <f>AVERAGE($D$2:$D$501)</f>
        <v>239740.3426</v>
      </c>
      <c r="AV15" s="1">
        <v>-10.4</v>
      </c>
      <c r="AW15" s="4">
        <f>IFERROR(($AU57-D57)/$AU57,0)</f>
        <v>0.4328405535</v>
      </c>
      <c r="AX15" s="4">
        <f>$AU57-D57</f>
        <v>103769.3426</v>
      </c>
      <c r="AY15" s="1">
        <v>91761.0</v>
      </c>
      <c r="AZ15" s="1">
        <v>2845710.0</v>
      </c>
      <c r="BA15" s="1" t="s">
        <v>123</v>
      </c>
    </row>
    <row r="16">
      <c r="A16" s="1" t="s">
        <v>126</v>
      </c>
      <c r="B16" s="1" t="s">
        <v>127</v>
      </c>
      <c r="D16" s="1">
        <v>130756.0</v>
      </c>
      <c r="E16" s="1">
        <v>244155.0</v>
      </c>
      <c r="F16" s="1">
        <v>1951.58</v>
      </c>
      <c r="G16" s="1">
        <v>35.64</v>
      </c>
      <c r="H16" s="1">
        <v>250.0</v>
      </c>
      <c r="I16" s="1">
        <v>9.0</v>
      </c>
      <c r="J16" s="1">
        <v>7.0</v>
      </c>
      <c r="K16" s="1">
        <v>26.0</v>
      </c>
      <c r="L16" s="1" t="b">
        <v>1</v>
      </c>
      <c r="M16" s="1" t="b">
        <v>0</v>
      </c>
      <c r="N16" s="1" t="b">
        <v>0</v>
      </c>
      <c r="O16" s="1" t="b">
        <v>1</v>
      </c>
      <c r="P16" s="1" t="b">
        <v>1</v>
      </c>
      <c r="Q16" s="1" t="b">
        <v>0</v>
      </c>
      <c r="R16" s="1" t="b">
        <v>1</v>
      </c>
      <c r="S16" s="1" t="s">
        <v>63</v>
      </c>
      <c r="T16" s="1" t="s">
        <v>64</v>
      </c>
      <c r="U16" s="1" t="s">
        <v>65</v>
      </c>
      <c r="V16" s="1">
        <v>5.0</v>
      </c>
      <c r="W16" s="1">
        <v>5.0</v>
      </c>
      <c r="X16" s="1">
        <v>3.0</v>
      </c>
      <c r="Y16" s="5">
        <v>46058.0</v>
      </c>
      <c r="Z16" s="1" t="s">
        <v>66</v>
      </c>
      <c r="AA16" s="1" t="b">
        <v>0</v>
      </c>
      <c r="AB16" s="1">
        <v>845.0</v>
      </c>
      <c r="AC16" s="1" t="b">
        <v>1</v>
      </c>
      <c r="AD16" s="1">
        <v>67.0</v>
      </c>
      <c r="AE16" s="1">
        <v>16.0</v>
      </c>
      <c r="AF16" s="2">
        <v>46157.0</v>
      </c>
      <c r="AG16" s="1" t="s">
        <v>67</v>
      </c>
      <c r="AH16" s="1" t="s">
        <v>68</v>
      </c>
      <c r="AI16" s="1" t="s">
        <v>69</v>
      </c>
      <c r="AJ16" s="1" t="s">
        <v>70</v>
      </c>
      <c r="AK16" s="1">
        <v>32413.0</v>
      </c>
      <c r="AL16" s="1" t="s">
        <v>71</v>
      </c>
      <c r="AM16" s="1" t="s">
        <v>72</v>
      </c>
      <c r="AN16" s="3" t="s">
        <v>128</v>
      </c>
      <c r="AO16" s="3" t="s">
        <v>129</v>
      </c>
      <c r="AQ16" s="1">
        <v>3721697.0</v>
      </c>
      <c r="AR16" s="1">
        <v>30.286733</v>
      </c>
      <c r="AS16" s="1">
        <v>-86.039724</v>
      </c>
      <c r="AT16" s="1">
        <v>54.21</v>
      </c>
      <c r="AU16" s="4">
        <f t="shared" ref="AU16:AU17" si="4">AVERAGE($D$2:$D$1233)</f>
        <v>239740.3426</v>
      </c>
      <c r="AV16" s="1">
        <v>-18.57</v>
      </c>
      <c r="AW16" s="4">
        <f>IFERROR(($AU1126-D1126)/$AU1126,0)</f>
        <v>0</v>
      </c>
      <c r="AX16" s="4">
        <f>$AU1126-D1126</f>
        <v>0</v>
      </c>
      <c r="AY16" s="1">
        <v>113399.0</v>
      </c>
      <c r="AZ16" s="1">
        <v>3721697.0</v>
      </c>
      <c r="BA16" s="1" t="s">
        <v>126</v>
      </c>
    </row>
    <row r="17">
      <c r="A17" s="1" t="s">
        <v>130</v>
      </c>
      <c r="D17" s="1">
        <v>222047.0</v>
      </c>
      <c r="E17" s="1">
        <v>259811.0</v>
      </c>
      <c r="F17" s="1">
        <v>2265.79</v>
      </c>
      <c r="G17" s="1">
        <v>45.58</v>
      </c>
      <c r="H17" s="1">
        <v>224.0</v>
      </c>
      <c r="I17" s="1">
        <v>7.0</v>
      </c>
      <c r="J17" s="1">
        <v>6.0</v>
      </c>
      <c r="K17" s="1">
        <v>18.0</v>
      </c>
      <c r="L17" s="1" t="b">
        <v>1</v>
      </c>
      <c r="M17" s="1" t="b">
        <v>1</v>
      </c>
      <c r="N17" s="1" t="b">
        <v>0</v>
      </c>
      <c r="O17" s="1" t="b">
        <v>1</v>
      </c>
      <c r="P17" s="1" t="b">
        <v>1</v>
      </c>
      <c r="Q17" s="1" t="b">
        <v>0</v>
      </c>
      <c r="R17" s="1" t="b">
        <v>1</v>
      </c>
      <c r="S17" s="1" t="s">
        <v>63</v>
      </c>
      <c r="T17" s="1" t="s">
        <v>64</v>
      </c>
      <c r="U17" s="1" t="s">
        <v>65</v>
      </c>
      <c r="V17" s="1">
        <v>4.9</v>
      </c>
      <c r="W17" s="1">
        <v>8.0</v>
      </c>
      <c r="X17" s="1">
        <v>2.0</v>
      </c>
      <c r="Y17" s="1">
        <v>1.0</v>
      </c>
      <c r="Z17" s="1" t="s">
        <v>66</v>
      </c>
      <c r="AA17" s="1" t="b">
        <v>0</v>
      </c>
      <c r="AB17" s="1">
        <v>796.0</v>
      </c>
      <c r="AC17" s="1" t="b">
        <v>1</v>
      </c>
      <c r="AD17" s="1">
        <v>98.0</v>
      </c>
      <c r="AE17" s="1">
        <v>20.0</v>
      </c>
      <c r="AF17" s="2">
        <v>45995.0</v>
      </c>
      <c r="AG17" s="1" t="s">
        <v>67</v>
      </c>
      <c r="AH17" s="1" t="s">
        <v>68</v>
      </c>
      <c r="AI17" s="1" t="s">
        <v>69</v>
      </c>
      <c r="AJ17" s="1" t="s">
        <v>70</v>
      </c>
      <c r="AK17" s="1">
        <v>32413.0</v>
      </c>
      <c r="AL17" s="1" t="s">
        <v>71</v>
      </c>
      <c r="AM17" s="1" t="s">
        <v>72</v>
      </c>
      <c r="AN17" s="3" t="s">
        <v>131</v>
      </c>
      <c r="AO17" s="3" t="s">
        <v>132</v>
      </c>
      <c r="AQ17" s="1">
        <v>4069757.0</v>
      </c>
      <c r="AR17" s="1">
        <v>30.28402</v>
      </c>
      <c r="AS17" s="1">
        <v>-86.0163</v>
      </c>
      <c r="AT17" s="1">
        <v>54.21</v>
      </c>
      <c r="AU17" s="4">
        <f t="shared" si="4"/>
        <v>239740.3426</v>
      </c>
      <c r="AV17" s="1">
        <v>-8.63</v>
      </c>
      <c r="AW17" s="4">
        <f>IFERROR(($AU1073-D1073)/$AU1073,0)</f>
        <v>0</v>
      </c>
      <c r="AX17" s="4">
        <f>$AU1073-D1073</f>
        <v>0</v>
      </c>
      <c r="AY17" s="1">
        <v>37764.0</v>
      </c>
      <c r="AZ17" s="1">
        <v>4069757.0</v>
      </c>
      <c r="BA17" s="1" t="s">
        <v>130</v>
      </c>
    </row>
    <row r="18">
      <c r="A18" s="1" t="s">
        <v>133</v>
      </c>
      <c r="D18" s="1">
        <v>211897.0</v>
      </c>
      <c r="E18" s="1">
        <v>400513.0</v>
      </c>
      <c r="F18" s="1">
        <v>2584.11</v>
      </c>
      <c r="G18" s="1">
        <v>62.6</v>
      </c>
      <c r="H18" s="1">
        <v>162.0</v>
      </c>
      <c r="I18" s="1">
        <v>6.0</v>
      </c>
      <c r="J18" s="1">
        <v>6.0</v>
      </c>
      <c r="K18" s="1">
        <v>22.0</v>
      </c>
      <c r="L18" s="1" t="b">
        <v>1</v>
      </c>
      <c r="M18" s="1" t="b">
        <v>0</v>
      </c>
      <c r="N18" s="1" t="b">
        <v>1</v>
      </c>
      <c r="O18" s="1" t="b">
        <v>1</v>
      </c>
      <c r="P18" s="1" t="b">
        <v>1</v>
      </c>
      <c r="Q18" s="1" t="b">
        <v>1</v>
      </c>
      <c r="R18" s="1" t="b">
        <v>1</v>
      </c>
      <c r="S18" s="1" t="s">
        <v>63</v>
      </c>
      <c r="T18" s="1" t="s">
        <v>64</v>
      </c>
      <c r="U18" s="1" t="s">
        <v>65</v>
      </c>
      <c r="V18" s="1">
        <v>5.0</v>
      </c>
      <c r="W18" s="1">
        <v>4.0</v>
      </c>
      <c r="X18" s="1">
        <v>3.0</v>
      </c>
      <c r="Y18" s="1">
        <v>1.0</v>
      </c>
      <c r="Z18" s="1" t="s">
        <v>66</v>
      </c>
      <c r="AA18" s="1" t="b">
        <v>0</v>
      </c>
      <c r="AB18" s="1">
        <v>0.0</v>
      </c>
      <c r="AC18" s="1" t="b">
        <v>1</v>
      </c>
      <c r="AD18" s="1">
        <v>82.0</v>
      </c>
      <c r="AE18" s="1">
        <v>15.0</v>
      </c>
      <c r="AF18" s="2">
        <v>46082.0</v>
      </c>
      <c r="AG18" s="1" t="s">
        <v>67</v>
      </c>
      <c r="AH18" s="1" t="s">
        <v>76</v>
      </c>
      <c r="AI18" s="1" t="s">
        <v>134</v>
      </c>
      <c r="AJ18" s="1" t="s">
        <v>70</v>
      </c>
      <c r="AK18" s="1">
        <v>32459.0</v>
      </c>
      <c r="AL18" s="1" t="s">
        <v>71</v>
      </c>
      <c r="AM18" s="1" t="s">
        <v>72</v>
      </c>
      <c r="AN18" s="3" t="s">
        <v>135</v>
      </c>
      <c r="AO18" s="3" t="s">
        <v>136</v>
      </c>
      <c r="AQ18" s="1">
        <v>4121224.0</v>
      </c>
      <c r="AR18" s="1">
        <v>30.351833</v>
      </c>
      <c r="AS18" s="1">
        <v>-86.25405</v>
      </c>
      <c r="AT18" s="1">
        <v>58.77</v>
      </c>
      <c r="AU18" s="4">
        <f>AVERAGE($D$2:$D$554)</f>
        <v>239740.3426</v>
      </c>
      <c r="AV18" s="1">
        <v>3.83</v>
      </c>
      <c r="AW18" s="4">
        <f>IFERROR(($AU40-D40)/$AU40,0)</f>
        <v>0.4522699076</v>
      </c>
      <c r="AX18" s="4">
        <f>$AU40-D40</f>
        <v>108427.3426</v>
      </c>
      <c r="AY18" s="1">
        <v>188616.0</v>
      </c>
      <c r="AZ18" s="1">
        <v>4121224.0</v>
      </c>
      <c r="BA18" s="1" t="s">
        <v>133</v>
      </c>
    </row>
    <row r="19">
      <c r="A19" s="1" t="s">
        <v>137</v>
      </c>
      <c r="D19" s="1">
        <v>132168.0</v>
      </c>
      <c r="E19" s="1">
        <v>170975.0</v>
      </c>
      <c r="F19" s="1">
        <v>3003.82</v>
      </c>
      <c r="G19" s="1">
        <v>28.21</v>
      </c>
      <c r="H19" s="1">
        <v>209.0</v>
      </c>
      <c r="I19" s="1">
        <v>13.0</v>
      </c>
      <c r="J19" s="1">
        <v>10.0</v>
      </c>
      <c r="K19" s="1">
        <v>56.0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s">
        <v>63</v>
      </c>
      <c r="T19" s="1" t="s">
        <v>64</v>
      </c>
      <c r="U19" s="1" t="s">
        <v>65</v>
      </c>
      <c r="V19" s="1">
        <v>5.0</v>
      </c>
      <c r="W19" s="1">
        <v>1.0</v>
      </c>
      <c r="X19" s="1">
        <v>3.0</v>
      </c>
      <c r="Y19" s="1">
        <v>1.0</v>
      </c>
      <c r="Z19" s="1" t="s">
        <v>66</v>
      </c>
      <c r="AA19" s="1" t="b">
        <v>0</v>
      </c>
      <c r="AB19" s="1">
        <v>1250.0</v>
      </c>
      <c r="AC19" s="1" t="b">
        <v>1</v>
      </c>
      <c r="AD19" s="1">
        <v>44.0</v>
      </c>
      <c r="AE19" s="1">
        <v>14.0</v>
      </c>
      <c r="AF19" s="2">
        <v>46158.0</v>
      </c>
      <c r="AG19" s="1" t="s">
        <v>102</v>
      </c>
      <c r="AH19" s="1" t="s">
        <v>103</v>
      </c>
      <c r="AI19" s="1" t="s">
        <v>138</v>
      </c>
      <c r="AJ19" s="1" t="s">
        <v>104</v>
      </c>
      <c r="AK19" s="1">
        <v>77617.0</v>
      </c>
      <c r="AL19" s="1" t="s">
        <v>71</v>
      </c>
      <c r="AM19" s="1" t="s">
        <v>72</v>
      </c>
      <c r="AN19" s="3" t="s">
        <v>139</v>
      </c>
      <c r="AO19" s="3" t="s">
        <v>140</v>
      </c>
      <c r="AQ19" s="1">
        <v>4816628.0</v>
      </c>
      <c r="AR19" s="1">
        <v>29.506441</v>
      </c>
      <c r="AS19" s="1">
        <v>-94.515378</v>
      </c>
      <c r="AT19" s="1">
        <v>47.56</v>
      </c>
      <c r="AU19" s="4">
        <f t="shared" ref="AU19:AU20" si="5">AVERAGE($D$2:$D$830)</f>
        <v>239740.3426</v>
      </c>
      <c r="AV19" s="1">
        <v>-19.35</v>
      </c>
      <c r="AW19" s="4">
        <f>IFERROR(($AU71-D71)/$AU71,0)</f>
        <v>0.2198351017</v>
      </c>
      <c r="AX19" s="4">
        <f>$AU71-D71</f>
        <v>52703.34259</v>
      </c>
      <c r="AY19" s="1">
        <v>38807.0</v>
      </c>
      <c r="AZ19" s="1">
        <v>4816628.0</v>
      </c>
      <c r="BA19" s="1" t="s">
        <v>137</v>
      </c>
    </row>
    <row r="20">
      <c r="A20" s="1" t="s">
        <v>141</v>
      </c>
      <c r="D20" s="1">
        <v>260969.0</v>
      </c>
      <c r="E20" s="1">
        <v>319363.0</v>
      </c>
      <c r="F20" s="1">
        <v>4209.18</v>
      </c>
      <c r="G20" s="1">
        <v>45.26</v>
      </c>
      <c r="H20" s="1">
        <v>194.0</v>
      </c>
      <c r="I20" s="1">
        <v>18.0</v>
      </c>
      <c r="J20" s="1">
        <v>14.0</v>
      </c>
      <c r="K20" s="1">
        <v>80.0</v>
      </c>
      <c r="L20" s="1" t="b">
        <v>1</v>
      </c>
      <c r="M20" s="1" t="b">
        <v>1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s">
        <v>63</v>
      </c>
      <c r="T20" s="1" t="s">
        <v>64</v>
      </c>
      <c r="U20" s="1" t="s">
        <v>65</v>
      </c>
      <c r="V20" s="1">
        <v>0.0</v>
      </c>
      <c r="W20" s="1">
        <v>0.0</v>
      </c>
      <c r="X20" s="1">
        <v>3.0</v>
      </c>
      <c r="Y20" s="1">
        <v>1.0</v>
      </c>
      <c r="Z20" s="1" t="s">
        <v>66</v>
      </c>
      <c r="AA20" s="1" t="b">
        <v>0</v>
      </c>
      <c r="AB20" s="1">
        <v>1800.0</v>
      </c>
      <c r="AC20" s="1" t="b">
        <v>1</v>
      </c>
      <c r="AD20" s="1">
        <v>62.0</v>
      </c>
      <c r="AE20" s="1">
        <v>17.0</v>
      </c>
      <c r="AF20" s="2">
        <v>46158.0</v>
      </c>
      <c r="AG20" s="1" t="s">
        <v>102</v>
      </c>
      <c r="AH20" s="1" t="s">
        <v>103</v>
      </c>
      <c r="AI20" s="1" t="s">
        <v>138</v>
      </c>
      <c r="AJ20" s="1" t="s">
        <v>104</v>
      </c>
      <c r="AK20" s="1">
        <v>77617.0</v>
      </c>
      <c r="AL20" s="1" t="s">
        <v>71</v>
      </c>
      <c r="AM20" s="1" t="s">
        <v>72</v>
      </c>
      <c r="AN20" s="3" t="s">
        <v>142</v>
      </c>
      <c r="AO20" s="3" t="s">
        <v>143</v>
      </c>
      <c r="AQ20" s="1">
        <v>4821106.0</v>
      </c>
      <c r="AR20" s="1">
        <v>29.506441</v>
      </c>
      <c r="AS20" s="1">
        <v>-94.515378</v>
      </c>
      <c r="AT20" s="1">
        <v>47.56</v>
      </c>
      <c r="AU20" s="4">
        <f t="shared" si="5"/>
        <v>239740.3426</v>
      </c>
      <c r="AV20" s="1">
        <v>-2.3</v>
      </c>
      <c r="AW20" s="4">
        <f>IFERROR(($AU12-D12)/$AU12,0)</f>
        <v>0.2643958122</v>
      </c>
      <c r="AX20" s="4">
        <f>$AU12-D12</f>
        <v>63386.34259</v>
      </c>
      <c r="AY20" s="1">
        <v>58394.0</v>
      </c>
      <c r="AZ20" s="1">
        <v>4821106.0</v>
      </c>
      <c r="BA20" s="1" t="s">
        <v>141</v>
      </c>
    </row>
    <row r="21">
      <c r="A21" s="1" t="s">
        <v>144</v>
      </c>
      <c r="B21" s="1">
        <v>1.5646875E7</v>
      </c>
      <c r="D21" s="1">
        <v>148894.0</v>
      </c>
      <c r="E21" s="1">
        <v>208248.0</v>
      </c>
      <c r="F21" s="1">
        <v>1884.73</v>
      </c>
      <c r="G21" s="1">
        <v>32.78</v>
      </c>
      <c r="H21" s="1">
        <v>288.0</v>
      </c>
      <c r="I21" s="1">
        <v>5.0</v>
      </c>
      <c r="J21" s="1">
        <v>5.0</v>
      </c>
      <c r="K21" s="1">
        <v>12.0</v>
      </c>
      <c r="L21" s="1" t="b">
        <v>1</v>
      </c>
      <c r="M21" s="1" t="b">
        <v>0</v>
      </c>
      <c r="N21" s="1" t="b">
        <v>0</v>
      </c>
      <c r="O21" s="1" t="b">
        <v>1</v>
      </c>
      <c r="P21" s="1" t="b">
        <v>1</v>
      </c>
      <c r="Q21" s="1" t="b">
        <v>0</v>
      </c>
      <c r="R21" s="1" t="b">
        <v>0</v>
      </c>
      <c r="S21" s="1" t="s">
        <v>63</v>
      </c>
      <c r="T21" s="1" t="s">
        <v>64</v>
      </c>
      <c r="U21" s="1" t="s">
        <v>65</v>
      </c>
      <c r="V21" s="1">
        <v>5.0</v>
      </c>
      <c r="W21" s="1">
        <v>2.0</v>
      </c>
      <c r="X21" s="1">
        <v>3.0</v>
      </c>
      <c r="Y21" s="1">
        <v>1.0</v>
      </c>
      <c r="Z21" s="1" t="s">
        <v>66</v>
      </c>
      <c r="AA21" s="1" t="b">
        <v>0</v>
      </c>
      <c r="AB21" s="1">
        <v>300.0</v>
      </c>
      <c r="AC21" s="1" t="b">
        <v>0</v>
      </c>
      <c r="AD21" s="1">
        <v>79.0</v>
      </c>
      <c r="AE21" s="1">
        <v>12.0</v>
      </c>
      <c r="AF21" s="2">
        <v>46158.0</v>
      </c>
      <c r="AG21" s="1" t="s">
        <v>92</v>
      </c>
      <c r="AH21" s="1" t="s">
        <v>93</v>
      </c>
      <c r="AI21" s="1" t="s">
        <v>94</v>
      </c>
      <c r="AJ21" s="1" t="s">
        <v>95</v>
      </c>
      <c r="AK21" s="1">
        <v>31561.0</v>
      </c>
      <c r="AL21" s="1" t="s">
        <v>71</v>
      </c>
      <c r="AM21" s="1" t="s">
        <v>72</v>
      </c>
      <c r="AN21" s="3" t="s">
        <v>145</v>
      </c>
      <c r="AO21" s="3" t="s">
        <v>146</v>
      </c>
      <c r="AP21" s="1">
        <v>9307503.0</v>
      </c>
      <c r="AR21" s="1">
        <v>31.1831</v>
      </c>
      <c r="AS21" s="1">
        <v>-81.3484</v>
      </c>
      <c r="AT21" s="1">
        <v>50.61</v>
      </c>
      <c r="AU21" s="4">
        <f>AVERAGE($D$2:$D$1001)</f>
        <v>239740.3426</v>
      </c>
      <c r="AV21" s="1">
        <v>-17.83</v>
      </c>
      <c r="AW21" s="4">
        <f>IFERROR(($AU547-D547)/$AU547,0)</f>
        <v>0</v>
      </c>
      <c r="AX21" s="4">
        <f>$AU547-D547</f>
        <v>0</v>
      </c>
      <c r="AY21" s="1">
        <v>59354.0</v>
      </c>
      <c r="AZ21" s="1">
        <v>9307503.0</v>
      </c>
      <c r="BA21" s="1" t="s">
        <v>144</v>
      </c>
    </row>
    <row r="22">
      <c r="A22" s="1" t="s">
        <v>147</v>
      </c>
      <c r="B22" s="1">
        <v>9.0267453E7</v>
      </c>
      <c r="D22" s="1">
        <v>195578.0</v>
      </c>
      <c r="E22" s="1">
        <v>221154.0</v>
      </c>
      <c r="F22" s="1">
        <v>2149.21</v>
      </c>
      <c r="G22" s="1">
        <v>51.7</v>
      </c>
      <c r="H22" s="1">
        <v>315.0</v>
      </c>
      <c r="I22" s="1">
        <v>5.0</v>
      </c>
      <c r="J22" s="1">
        <v>4.0</v>
      </c>
      <c r="K22" s="1">
        <v>16.0</v>
      </c>
      <c r="L22" s="1" t="b">
        <v>1</v>
      </c>
      <c r="M22" s="1" t="b">
        <v>0</v>
      </c>
      <c r="N22" s="1" t="b">
        <v>0</v>
      </c>
      <c r="O22" s="1" t="b">
        <v>1</v>
      </c>
      <c r="P22" s="1" t="b">
        <v>1</v>
      </c>
      <c r="Q22" s="1" t="b">
        <v>0</v>
      </c>
      <c r="R22" s="1" t="b">
        <v>1</v>
      </c>
      <c r="S22" s="1" t="s">
        <v>63</v>
      </c>
      <c r="T22" s="1" t="s">
        <v>64</v>
      </c>
      <c r="U22" s="1" t="s">
        <v>65</v>
      </c>
      <c r="V22" s="1">
        <v>5.0</v>
      </c>
      <c r="W22" s="1">
        <v>103.0</v>
      </c>
      <c r="X22" s="1">
        <v>4.0</v>
      </c>
      <c r="Y22" s="1">
        <v>1.0</v>
      </c>
      <c r="Z22" s="1" t="s">
        <v>66</v>
      </c>
      <c r="AA22" s="1" t="b">
        <v>0</v>
      </c>
      <c r="AB22" s="1">
        <v>660.0</v>
      </c>
      <c r="AC22" s="1" t="b">
        <v>0</v>
      </c>
      <c r="AD22" s="1">
        <v>91.0</v>
      </c>
      <c r="AE22" s="1">
        <v>14.0</v>
      </c>
      <c r="AF22" s="2">
        <v>46158.0</v>
      </c>
      <c r="AG22" s="1" t="s">
        <v>67</v>
      </c>
      <c r="AH22" s="1" t="s">
        <v>68</v>
      </c>
      <c r="AI22" s="1" t="s">
        <v>134</v>
      </c>
      <c r="AJ22" s="1" t="s">
        <v>70</v>
      </c>
      <c r="AK22" s="1">
        <v>32459.0</v>
      </c>
      <c r="AL22" s="1" t="s">
        <v>71</v>
      </c>
      <c r="AM22" s="1" t="s">
        <v>72</v>
      </c>
      <c r="AN22" s="3" t="s">
        <v>148</v>
      </c>
      <c r="AO22" s="3" t="s">
        <v>149</v>
      </c>
      <c r="AP22" s="1">
        <v>1.4570521E7</v>
      </c>
      <c r="AQ22" s="1">
        <v>383665.0</v>
      </c>
      <c r="AR22" s="1">
        <v>30.30479</v>
      </c>
      <c r="AS22" s="1">
        <v>-86.08773</v>
      </c>
      <c r="AT22" s="1">
        <v>61.91</v>
      </c>
      <c r="AU22" s="4">
        <f t="shared" ref="AU22:AU23" si="6">AVERAGE($D$2:$D$1233)</f>
        <v>239740.3426</v>
      </c>
      <c r="AV22" s="1">
        <v>-10.21</v>
      </c>
      <c r="AW22" s="4">
        <f>IFERROR(($AU576-D576)/$AU576,0)</f>
        <v>0</v>
      </c>
      <c r="AX22" s="4">
        <f>$AU576-D576</f>
        <v>0</v>
      </c>
      <c r="AY22" s="1">
        <v>25576.0</v>
      </c>
      <c r="AZ22" s="1">
        <v>1.4570521E7</v>
      </c>
      <c r="BA22" s="1" t="s">
        <v>147</v>
      </c>
    </row>
    <row r="23">
      <c r="A23" s="1" t="s">
        <v>150</v>
      </c>
      <c r="B23" s="1">
        <v>1.19938203E8</v>
      </c>
      <c r="D23" s="1">
        <v>144490.0</v>
      </c>
      <c r="E23" s="1">
        <v>148251.0</v>
      </c>
      <c r="F23" s="1">
        <v>1901.18</v>
      </c>
      <c r="G23" s="1">
        <v>35.51</v>
      </c>
      <c r="H23" s="1">
        <v>344.0</v>
      </c>
      <c r="I23" s="1">
        <v>12.0</v>
      </c>
      <c r="J23" s="1">
        <v>8.0</v>
      </c>
      <c r="K23" s="1">
        <v>16.0</v>
      </c>
      <c r="L23" s="1" t="b">
        <v>1</v>
      </c>
      <c r="M23" s="1" t="b">
        <v>0</v>
      </c>
      <c r="N23" s="1" t="b">
        <v>0</v>
      </c>
      <c r="O23" s="1" t="b">
        <v>1</v>
      </c>
      <c r="P23" s="1" t="b">
        <v>1</v>
      </c>
      <c r="Q23" s="1" t="b">
        <v>0</v>
      </c>
      <c r="R23" s="1" t="b">
        <v>1</v>
      </c>
      <c r="S23" s="1" t="s">
        <v>63</v>
      </c>
      <c r="T23" s="1" t="s">
        <v>64</v>
      </c>
      <c r="U23" s="1" t="s">
        <v>65</v>
      </c>
      <c r="V23" s="1">
        <v>4.9</v>
      </c>
      <c r="W23" s="1">
        <v>105.0</v>
      </c>
      <c r="X23" s="1">
        <v>1.0</v>
      </c>
      <c r="Y23" s="1">
        <v>1.0</v>
      </c>
      <c r="Z23" s="1" t="s">
        <v>66</v>
      </c>
      <c r="AA23" s="1" t="b">
        <v>0</v>
      </c>
      <c r="AB23" s="1">
        <v>950.0</v>
      </c>
      <c r="AC23" s="1" t="b">
        <v>1</v>
      </c>
      <c r="AD23" s="1">
        <v>76.0</v>
      </c>
      <c r="AE23" s="1">
        <v>12.0</v>
      </c>
      <c r="AF23" s="2">
        <v>46158.0</v>
      </c>
      <c r="AG23" s="1" t="s">
        <v>67</v>
      </c>
      <c r="AH23" s="1" t="s">
        <v>68</v>
      </c>
      <c r="AI23" s="1" t="s">
        <v>134</v>
      </c>
      <c r="AJ23" s="1" t="s">
        <v>70</v>
      </c>
      <c r="AK23" s="1">
        <v>32459.0</v>
      </c>
      <c r="AL23" s="1" t="s">
        <v>71</v>
      </c>
      <c r="AM23" s="1" t="s">
        <v>72</v>
      </c>
      <c r="AN23" s="3" t="s">
        <v>151</v>
      </c>
      <c r="AO23" s="3" t="s">
        <v>152</v>
      </c>
      <c r="AP23" s="1">
        <v>1.7635126E7</v>
      </c>
      <c r="AQ23" s="1">
        <v>1908571.0</v>
      </c>
      <c r="AR23" s="1">
        <v>30.3099</v>
      </c>
      <c r="AS23" s="1">
        <v>-86.1054</v>
      </c>
      <c r="AT23" s="1">
        <v>54.21</v>
      </c>
      <c r="AU23" s="4">
        <f t="shared" si="6"/>
        <v>239740.3426</v>
      </c>
      <c r="AV23" s="1">
        <v>-18.7</v>
      </c>
      <c r="AW23" s="4">
        <f>IFERROR(($AU1119-D1119)/$AU1119,0)</f>
        <v>0</v>
      </c>
      <c r="AX23" s="4">
        <f>$AU1119-D1119</f>
        <v>0</v>
      </c>
      <c r="AY23" s="1">
        <v>3761.0</v>
      </c>
      <c r="AZ23" s="1">
        <v>1.7635126E7</v>
      </c>
      <c r="BA23" s="1" t="s">
        <v>150</v>
      </c>
    </row>
    <row r="24">
      <c r="A24" s="1" t="s">
        <v>153</v>
      </c>
      <c r="B24" s="1">
        <v>1.02830135E8</v>
      </c>
      <c r="D24" s="1">
        <v>110552.0</v>
      </c>
      <c r="E24" s="1">
        <v>199142.0</v>
      </c>
      <c r="F24" s="1">
        <v>1228.36</v>
      </c>
      <c r="G24" s="1">
        <v>51.72</v>
      </c>
      <c r="H24" s="1">
        <v>215.0</v>
      </c>
      <c r="I24" s="1">
        <v>5.0</v>
      </c>
      <c r="J24" s="1">
        <v>3.0</v>
      </c>
      <c r="K24" s="1">
        <v>14.0</v>
      </c>
      <c r="L24" s="1" t="b">
        <v>1</v>
      </c>
      <c r="M24" s="1" t="b">
        <v>0</v>
      </c>
      <c r="N24" s="1" t="b">
        <v>0</v>
      </c>
      <c r="O24" s="1" t="b">
        <v>1</v>
      </c>
      <c r="P24" s="1" t="b">
        <v>1</v>
      </c>
      <c r="Q24" s="1" t="b">
        <v>1</v>
      </c>
      <c r="R24" s="1" t="b">
        <v>0</v>
      </c>
      <c r="S24" s="1" t="s">
        <v>63</v>
      </c>
      <c r="T24" s="1" t="s">
        <v>64</v>
      </c>
      <c r="U24" s="1" t="s">
        <v>65</v>
      </c>
      <c r="V24" s="1">
        <v>4.65</v>
      </c>
      <c r="W24" s="1">
        <v>24.0</v>
      </c>
      <c r="X24" s="1">
        <v>1.0</v>
      </c>
      <c r="Y24" s="5">
        <v>46193.0</v>
      </c>
      <c r="Z24" s="1" t="s">
        <v>66</v>
      </c>
      <c r="AA24" s="1" t="b">
        <v>1</v>
      </c>
      <c r="AB24" s="1">
        <v>450.0</v>
      </c>
      <c r="AC24" s="1" t="b">
        <v>0</v>
      </c>
      <c r="AD24" s="1">
        <v>90.0</v>
      </c>
      <c r="AE24" s="1">
        <v>28.0</v>
      </c>
      <c r="AF24" s="2">
        <v>46153.0</v>
      </c>
      <c r="AG24" s="1" t="s">
        <v>81</v>
      </c>
      <c r="AH24" s="1" t="s">
        <v>154</v>
      </c>
      <c r="AI24" s="1" t="s">
        <v>154</v>
      </c>
      <c r="AJ24" s="1" t="s">
        <v>70</v>
      </c>
      <c r="AK24" s="1">
        <v>33957.0</v>
      </c>
      <c r="AL24" s="1" t="s">
        <v>71</v>
      </c>
      <c r="AM24" s="1" t="s">
        <v>72</v>
      </c>
      <c r="AN24" s="3" t="s">
        <v>155</v>
      </c>
      <c r="AO24" s="3" t="s">
        <v>156</v>
      </c>
      <c r="AP24" s="1">
        <v>1.9919793E7</v>
      </c>
      <c r="AQ24" s="1" t="s">
        <v>157</v>
      </c>
      <c r="AR24" s="1">
        <v>26.43711</v>
      </c>
      <c r="AS24" s="1">
        <v>-82.04589</v>
      </c>
      <c r="AT24" s="1">
        <v>46.86</v>
      </c>
      <c r="AU24" s="4">
        <f>AVERAGE($D$2:$D$689)</f>
        <v>239740.3426</v>
      </c>
      <c r="AV24" s="1">
        <v>4.86</v>
      </c>
      <c r="AW24" s="4">
        <f>IFERROR(($AU505-D505)/$AU505,0)</f>
        <v>0</v>
      </c>
      <c r="AX24" s="4">
        <f>$AU505-D505</f>
        <v>0</v>
      </c>
      <c r="AY24" s="1">
        <v>88590.0</v>
      </c>
      <c r="AZ24" s="1">
        <v>1.9919793E7</v>
      </c>
      <c r="BA24" s="1" t="s">
        <v>153</v>
      </c>
    </row>
    <row r="25">
      <c r="A25" s="1" t="s">
        <v>158</v>
      </c>
      <c r="B25" s="1">
        <v>1.53303499E8</v>
      </c>
      <c r="D25" s="1">
        <v>160584.0</v>
      </c>
      <c r="E25" s="1">
        <v>175394.0</v>
      </c>
      <c r="F25" s="1">
        <v>1254.56</v>
      </c>
      <c r="G25" s="1">
        <v>39.63</v>
      </c>
      <c r="H25" s="1">
        <v>323.0</v>
      </c>
      <c r="I25" s="1">
        <v>5.0</v>
      </c>
      <c r="J25" s="1">
        <v>4.0</v>
      </c>
      <c r="K25" s="1">
        <v>16.0</v>
      </c>
      <c r="L25" s="1" t="b">
        <v>1</v>
      </c>
      <c r="M25" s="1" t="b">
        <v>0</v>
      </c>
      <c r="N25" s="1" t="b">
        <v>1</v>
      </c>
      <c r="O25" s="1" t="b">
        <v>1</v>
      </c>
      <c r="P25" s="1" t="b">
        <v>1</v>
      </c>
      <c r="Q25" s="1" t="b">
        <v>0</v>
      </c>
      <c r="R25" s="1" t="b">
        <v>0</v>
      </c>
      <c r="S25" s="1" t="s">
        <v>63</v>
      </c>
      <c r="T25" s="1" t="s">
        <v>64</v>
      </c>
      <c r="U25" s="1" t="s">
        <v>65</v>
      </c>
      <c r="V25" s="1">
        <v>5.0</v>
      </c>
      <c r="W25" s="1">
        <v>198.0</v>
      </c>
      <c r="X25" s="1">
        <v>1.0</v>
      </c>
      <c r="Y25" s="5">
        <v>46058.0</v>
      </c>
      <c r="Z25" s="1" t="s">
        <v>66</v>
      </c>
      <c r="AA25" s="1" t="b">
        <v>1</v>
      </c>
      <c r="AB25" s="1">
        <v>475.0</v>
      </c>
      <c r="AC25" s="1" t="b">
        <v>0</v>
      </c>
      <c r="AD25" s="1">
        <v>128.0</v>
      </c>
      <c r="AE25" s="1">
        <v>41.0</v>
      </c>
      <c r="AF25" s="2">
        <v>46155.0</v>
      </c>
      <c r="AG25" s="1" t="s">
        <v>102</v>
      </c>
      <c r="AH25" s="1" t="s">
        <v>102</v>
      </c>
      <c r="AI25" s="1" t="s">
        <v>102</v>
      </c>
      <c r="AJ25" s="1" t="s">
        <v>104</v>
      </c>
      <c r="AK25" s="1">
        <v>77550.0</v>
      </c>
      <c r="AL25" s="1" t="s">
        <v>71</v>
      </c>
      <c r="AM25" s="1" t="s">
        <v>72</v>
      </c>
      <c r="AN25" s="3" t="s">
        <v>159</v>
      </c>
      <c r="AO25" s="3" t="s">
        <v>160</v>
      </c>
      <c r="AP25" s="1">
        <v>3.1852877E7</v>
      </c>
      <c r="AQ25" s="1">
        <v>1411925.0</v>
      </c>
      <c r="AR25" s="1">
        <v>29.30823</v>
      </c>
      <c r="AS25" s="1">
        <v>-94.76265</v>
      </c>
      <c r="AT25" s="1">
        <v>45.23</v>
      </c>
      <c r="AU25" s="4">
        <f>AVERAGE($D$2:$D$830)</f>
        <v>239740.3426</v>
      </c>
      <c r="AV25" s="1">
        <v>-5.6</v>
      </c>
      <c r="AW25" s="4">
        <f>IFERROR(($AU42-D42)/$AU42,0)</f>
        <v>0.5755908292</v>
      </c>
      <c r="AX25" s="4">
        <f>$AU42-D42</f>
        <v>137992.3426</v>
      </c>
      <c r="AY25" s="1">
        <v>14810.0</v>
      </c>
      <c r="AZ25" s="1">
        <v>3.1852877E7</v>
      </c>
      <c r="BA25" s="1" t="s">
        <v>158</v>
      </c>
    </row>
    <row r="26">
      <c r="A26" s="1" t="s">
        <v>161</v>
      </c>
      <c r="B26" s="1">
        <v>5.2155536E7</v>
      </c>
      <c r="D26" s="1">
        <v>340453.0</v>
      </c>
      <c r="E26" s="1">
        <v>501562.0</v>
      </c>
      <c r="F26" s="1">
        <v>3123.42</v>
      </c>
      <c r="G26" s="1">
        <v>64.5</v>
      </c>
      <c r="H26" s="1">
        <v>268.0</v>
      </c>
      <c r="I26" s="1">
        <v>9.0</v>
      </c>
      <c r="J26" s="1">
        <v>8.0</v>
      </c>
      <c r="K26" s="1">
        <v>16.0</v>
      </c>
      <c r="L26" s="1" t="b">
        <v>1</v>
      </c>
      <c r="M26" s="1" t="b">
        <v>0</v>
      </c>
      <c r="N26" s="1" t="b">
        <v>1</v>
      </c>
      <c r="O26" s="1" t="b">
        <v>1</v>
      </c>
      <c r="P26" s="1" t="b">
        <v>1</v>
      </c>
      <c r="Q26" s="1" t="b">
        <v>1</v>
      </c>
      <c r="R26" s="1" t="b">
        <v>1</v>
      </c>
      <c r="S26" s="1" t="s">
        <v>63</v>
      </c>
      <c r="T26" s="1" t="s">
        <v>64</v>
      </c>
      <c r="U26" s="1" t="s">
        <v>65</v>
      </c>
      <c r="V26" s="1">
        <v>0.0</v>
      </c>
      <c r="W26" s="1">
        <v>0.0</v>
      </c>
      <c r="X26" s="1">
        <v>7.0</v>
      </c>
      <c r="Y26" s="5">
        <v>46058.0</v>
      </c>
      <c r="Z26" s="1" t="s">
        <v>66</v>
      </c>
      <c r="AA26" s="1" t="b">
        <v>0</v>
      </c>
      <c r="AB26" s="1">
        <v>551.0</v>
      </c>
      <c r="AC26" s="1" t="b">
        <v>0</v>
      </c>
      <c r="AD26" s="1">
        <v>109.0</v>
      </c>
      <c r="AE26" s="1">
        <v>4.0</v>
      </c>
      <c r="AF26" s="2">
        <v>46159.0</v>
      </c>
      <c r="AG26" s="1" t="s">
        <v>67</v>
      </c>
      <c r="AH26" s="1" t="s">
        <v>76</v>
      </c>
      <c r="AI26" s="1" t="s">
        <v>134</v>
      </c>
      <c r="AJ26" s="1" t="s">
        <v>70</v>
      </c>
      <c r="AK26" s="1">
        <v>32459.0</v>
      </c>
      <c r="AL26" s="1" t="s">
        <v>71</v>
      </c>
      <c r="AM26" s="1" t="s">
        <v>72</v>
      </c>
      <c r="AN26" s="3" t="s">
        <v>162</v>
      </c>
      <c r="AO26" s="3" t="s">
        <v>163</v>
      </c>
      <c r="AP26" s="1">
        <v>3.4993307E7</v>
      </c>
      <c r="AR26" s="1">
        <v>30.37105</v>
      </c>
      <c r="AS26" s="1">
        <v>-86.34409</v>
      </c>
      <c r="AT26" s="1">
        <v>57.2</v>
      </c>
      <c r="AU26" s="4">
        <f>AVERAGE($D$2:$D$554)</f>
        <v>239740.3426</v>
      </c>
      <c r="AV26" s="1">
        <v>7.3</v>
      </c>
      <c r="AW26" s="4">
        <f>IFERROR(($AU13-D13)/$AU13,0)</f>
        <v>-3.563658282</v>
      </c>
      <c r="AX26" s="4">
        <f>$AU13-D13</f>
        <v>-854352.6574</v>
      </c>
      <c r="AY26" s="1">
        <v>161109.0</v>
      </c>
      <c r="AZ26" s="1">
        <v>3.4993307E7</v>
      </c>
      <c r="BA26" s="1" t="s">
        <v>161</v>
      </c>
    </row>
    <row r="27">
      <c r="A27" s="1" t="s">
        <v>164</v>
      </c>
      <c r="B27" s="1">
        <v>2.9546135E8</v>
      </c>
      <c r="D27" s="1">
        <v>176689.0</v>
      </c>
      <c r="E27" s="1">
        <v>313796.0</v>
      </c>
      <c r="F27" s="1">
        <v>1510.16</v>
      </c>
      <c r="G27" s="1">
        <v>66.86</v>
      </c>
      <c r="H27" s="1">
        <v>228.0</v>
      </c>
      <c r="I27" s="1">
        <v>5.0</v>
      </c>
      <c r="J27" s="1">
        <v>6.0</v>
      </c>
      <c r="K27" s="1">
        <v>10.0</v>
      </c>
      <c r="L27" s="1" t="b">
        <v>1</v>
      </c>
      <c r="M27" s="1" t="b">
        <v>0</v>
      </c>
      <c r="N27" s="1" t="b">
        <v>0</v>
      </c>
      <c r="O27" s="1" t="b">
        <v>1</v>
      </c>
      <c r="P27" s="1" t="b">
        <v>1</v>
      </c>
      <c r="Q27" s="1" t="b">
        <v>0</v>
      </c>
      <c r="R27" s="1" t="b">
        <v>1</v>
      </c>
      <c r="S27" s="1" t="s">
        <v>63</v>
      </c>
      <c r="T27" s="1" t="s">
        <v>64</v>
      </c>
      <c r="U27" s="1" t="s">
        <v>65</v>
      </c>
      <c r="V27" s="1">
        <v>5.0</v>
      </c>
      <c r="W27" s="1">
        <v>88.0</v>
      </c>
      <c r="X27" s="1">
        <v>7.0</v>
      </c>
      <c r="Y27" s="1">
        <v>1.0</v>
      </c>
      <c r="Z27" s="1" t="s">
        <v>66</v>
      </c>
      <c r="AA27" s="1" t="b">
        <v>0</v>
      </c>
      <c r="AB27" s="1">
        <v>0.0</v>
      </c>
      <c r="AC27" s="1" t="b">
        <v>0</v>
      </c>
      <c r="AD27" s="1">
        <v>117.0</v>
      </c>
      <c r="AE27" s="1">
        <v>16.0</v>
      </c>
      <c r="AF27" s="2">
        <v>43985.0</v>
      </c>
      <c r="AG27" s="1" t="s">
        <v>81</v>
      </c>
      <c r="AH27" s="1" t="s">
        <v>82</v>
      </c>
      <c r="AI27" s="1" t="s">
        <v>82</v>
      </c>
      <c r="AJ27" s="1" t="s">
        <v>70</v>
      </c>
      <c r="AK27" s="1">
        <v>33924.0</v>
      </c>
      <c r="AL27" s="1" t="s">
        <v>71</v>
      </c>
      <c r="AM27" s="1" t="s">
        <v>72</v>
      </c>
      <c r="AN27" s="3" t="s">
        <v>165</v>
      </c>
      <c r="AO27" s="3" t="s">
        <v>166</v>
      </c>
      <c r="AP27" s="1">
        <v>3.8670669E7</v>
      </c>
      <c r="AQ27" s="1" t="s">
        <v>167</v>
      </c>
      <c r="AR27" s="1">
        <v>26.52216</v>
      </c>
      <c r="AS27" s="1">
        <v>-82.19204</v>
      </c>
      <c r="AT27" s="1">
        <v>55.98</v>
      </c>
      <c r="AU27" s="4">
        <f>AVERAGE($D$2:$D$501)</f>
        <v>239740.3426</v>
      </c>
      <c r="AV27" s="1">
        <v>10.88</v>
      </c>
      <c r="AW27" s="4">
        <f>IFERROR(($AU26-D26)/$AU26,0)</f>
        <v>-0.420090571</v>
      </c>
      <c r="AX27" s="4">
        <f>$AU26-D26</f>
        <v>-100712.6574</v>
      </c>
      <c r="AY27" s="1">
        <v>137107.0</v>
      </c>
      <c r="AZ27" s="1">
        <v>3.8670669E7</v>
      </c>
      <c r="BA27" s="1" t="s">
        <v>164</v>
      </c>
    </row>
    <row r="28">
      <c r="A28" s="1" t="s">
        <v>168</v>
      </c>
      <c r="B28" s="1">
        <v>1.19120767E8</v>
      </c>
      <c r="D28" s="1">
        <v>367299.0</v>
      </c>
      <c r="E28" s="1">
        <v>492218.0</v>
      </c>
      <c r="F28" s="1">
        <v>2803.81</v>
      </c>
      <c r="G28" s="1">
        <v>47.99</v>
      </c>
      <c r="H28" s="1">
        <v>311.0</v>
      </c>
      <c r="I28" s="1">
        <v>7.0</v>
      </c>
      <c r="J28" s="1">
        <v>6.0</v>
      </c>
      <c r="K28" s="1">
        <v>16.0</v>
      </c>
      <c r="L28" s="1" t="b">
        <v>1</v>
      </c>
      <c r="M28" s="1" t="b">
        <v>1</v>
      </c>
      <c r="N28" s="1" t="b">
        <v>1</v>
      </c>
      <c r="O28" s="1" t="b">
        <v>1</v>
      </c>
      <c r="P28" s="1" t="b">
        <v>1</v>
      </c>
      <c r="Q28" s="1" t="b">
        <v>0</v>
      </c>
      <c r="R28" s="1" t="b">
        <v>1</v>
      </c>
      <c r="S28" s="1" t="s">
        <v>63</v>
      </c>
      <c r="T28" s="1" t="s">
        <v>117</v>
      </c>
      <c r="U28" s="1" t="s">
        <v>65</v>
      </c>
      <c r="V28" s="1">
        <v>5.0</v>
      </c>
      <c r="W28" s="1">
        <v>71.0</v>
      </c>
      <c r="X28" s="1">
        <v>7.0</v>
      </c>
      <c r="Y28" s="5">
        <v>46193.0</v>
      </c>
      <c r="Z28" s="1" t="s">
        <v>66</v>
      </c>
      <c r="AA28" s="1" t="b">
        <v>1</v>
      </c>
      <c r="AB28" s="1">
        <v>1350.0</v>
      </c>
      <c r="AC28" s="1" t="b">
        <v>0</v>
      </c>
      <c r="AD28" s="1">
        <v>131.0</v>
      </c>
      <c r="AE28" s="1">
        <v>25.0</v>
      </c>
      <c r="AF28" s="2">
        <v>46153.0</v>
      </c>
      <c r="AG28" s="1" t="s">
        <v>169</v>
      </c>
      <c r="AH28" s="1" t="s">
        <v>170</v>
      </c>
      <c r="AI28" s="1" t="s">
        <v>170</v>
      </c>
      <c r="AJ28" s="1" t="s">
        <v>70</v>
      </c>
      <c r="AK28" s="1">
        <v>33050.0</v>
      </c>
      <c r="AL28" s="1" t="s">
        <v>71</v>
      </c>
      <c r="AM28" s="1" t="s">
        <v>72</v>
      </c>
      <c r="AN28" s="3" t="s">
        <v>171</v>
      </c>
      <c r="AO28" s="3" t="s">
        <v>172</v>
      </c>
      <c r="AP28" s="1">
        <v>3.9527229E7</v>
      </c>
      <c r="AQ28" s="1">
        <v>888679.0</v>
      </c>
      <c r="AR28" s="1">
        <v>24.7072</v>
      </c>
      <c r="AS28" s="1">
        <v>-81.0783</v>
      </c>
      <c r="AT28" s="1">
        <v>59.15</v>
      </c>
      <c r="AU28" s="4">
        <f>AVERAGE($D$2:$D$85)</f>
        <v>256365.4524</v>
      </c>
      <c r="AV28" s="1">
        <v>-11.16</v>
      </c>
      <c r="AW28" s="4">
        <f>IFERROR(($AU7-D7)/$AU7,0)</f>
        <v>0.5059446453</v>
      </c>
      <c r="AX28" s="4">
        <f>$AU7-D7</f>
        <v>121295.3426</v>
      </c>
      <c r="AY28" s="1">
        <v>124919.0</v>
      </c>
      <c r="AZ28" s="1">
        <v>3.9527229E7</v>
      </c>
      <c r="BA28" s="1" t="s">
        <v>168</v>
      </c>
    </row>
    <row r="29">
      <c r="A29" s="1" t="s">
        <v>173</v>
      </c>
      <c r="B29" s="1">
        <v>1.17167018E8</v>
      </c>
      <c r="D29" s="1">
        <v>138547.0</v>
      </c>
      <c r="E29" s="1">
        <v>171202.0</v>
      </c>
      <c r="F29" s="1">
        <v>1489.75</v>
      </c>
      <c r="G29" s="1">
        <v>48.19</v>
      </c>
      <c r="H29" s="1">
        <v>305.0</v>
      </c>
      <c r="I29" s="1">
        <v>6.0</v>
      </c>
      <c r="J29" s="1">
        <v>6.0</v>
      </c>
      <c r="K29" s="1">
        <v>15.0</v>
      </c>
      <c r="L29" s="1" t="b">
        <v>1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0</v>
      </c>
      <c r="R29" s="1" t="b">
        <v>1</v>
      </c>
      <c r="S29" s="1" t="s">
        <v>63</v>
      </c>
      <c r="T29" s="1" t="s">
        <v>64</v>
      </c>
      <c r="U29" s="1" t="s">
        <v>65</v>
      </c>
      <c r="V29" s="1">
        <v>4.9</v>
      </c>
      <c r="W29" s="1">
        <v>47.0</v>
      </c>
      <c r="X29" s="1">
        <v>3.0</v>
      </c>
      <c r="Y29" s="5">
        <v>46058.0</v>
      </c>
      <c r="Z29" s="1" t="s">
        <v>66</v>
      </c>
      <c r="AA29" s="1" t="b">
        <v>0</v>
      </c>
      <c r="AB29" s="1">
        <v>750.0</v>
      </c>
      <c r="AC29" s="1" t="b">
        <v>1</v>
      </c>
      <c r="AD29" s="1">
        <v>93.0</v>
      </c>
      <c r="AE29" s="1">
        <v>20.0</v>
      </c>
      <c r="AF29" s="2">
        <v>43969.0</v>
      </c>
      <c r="AG29" s="1" t="s">
        <v>67</v>
      </c>
      <c r="AH29" s="1" t="s">
        <v>76</v>
      </c>
      <c r="AI29" s="1" t="s">
        <v>76</v>
      </c>
      <c r="AJ29" s="1" t="s">
        <v>70</v>
      </c>
      <c r="AK29" s="1">
        <v>32550.0</v>
      </c>
      <c r="AL29" s="1" t="s">
        <v>71</v>
      </c>
      <c r="AM29" s="1" t="s">
        <v>72</v>
      </c>
      <c r="AN29" s="3" t="s">
        <v>174</v>
      </c>
      <c r="AO29" s="3" t="s">
        <v>175</v>
      </c>
      <c r="AP29" s="1">
        <v>3.9921927E7</v>
      </c>
      <c r="AQ29" s="1">
        <v>718454.0</v>
      </c>
      <c r="AR29" s="1">
        <v>30.37688</v>
      </c>
      <c r="AS29" s="1">
        <v>-86.37264</v>
      </c>
      <c r="AT29" s="1">
        <v>58.77</v>
      </c>
      <c r="AU29" s="4">
        <f>AVERAGE($D$2:$D$554)</f>
        <v>239740.3426</v>
      </c>
      <c r="AV29" s="1">
        <v>-10.58</v>
      </c>
      <c r="AW29" s="4">
        <f>IFERROR(($AU90-D90)/$AU90,0)</f>
        <v>0.3529040698</v>
      </c>
      <c r="AX29" s="4">
        <f>$AU90-D90</f>
        <v>84605.34259</v>
      </c>
      <c r="AY29" s="1">
        <v>32655.0</v>
      </c>
      <c r="AZ29" s="1">
        <v>3.9921927E7</v>
      </c>
      <c r="BA29" s="1" t="s">
        <v>173</v>
      </c>
    </row>
    <row r="30">
      <c r="A30" s="1" t="s">
        <v>176</v>
      </c>
      <c r="B30" s="1">
        <v>3.31184293E8</v>
      </c>
      <c r="D30" s="1">
        <v>111325.0</v>
      </c>
      <c r="E30" s="1">
        <v>138382.0</v>
      </c>
      <c r="F30" s="1">
        <v>1147.68</v>
      </c>
      <c r="G30" s="1">
        <v>36.19</v>
      </c>
      <c r="H30" s="1">
        <v>306.0</v>
      </c>
      <c r="I30" s="1">
        <v>6.0</v>
      </c>
      <c r="J30" s="1">
        <v>5.0</v>
      </c>
      <c r="K30" s="1">
        <v>16.0</v>
      </c>
      <c r="L30" s="1" t="b">
        <v>1</v>
      </c>
      <c r="M30" s="1" t="b">
        <v>0</v>
      </c>
      <c r="N30" s="1" t="b">
        <v>0</v>
      </c>
      <c r="O30" s="1" t="b">
        <v>1</v>
      </c>
      <c r="P30" s="1" t="b">
        <v>1</v>
      </c>
      <c r="Q30" s="1" t="b">
        <v>0</v>
      </c>
      <c r="R30" s="1" t="b">
        <v>0</v>
      </c>
      <c r="S30" s="1" t="s">
        <v>63</v>
      </c>
      <c r="T30" s="1" t="s">
        <v>64</v>
      </c>
      <c r="U30" s="1" t="s">
        <v>65</v>
      </c>
      <c r="V30" s="1">
        <v>4.8</v>
      </c>
      <c r="W30" s="1">
        <v>161.0</v>
      </c>
      <c r="X30" s="1">
        <v>3.0</v>
      </c>
      <c r="Y30" s="5">
        <v>46058.0</v>
      </c>
      <c r="Z30" s="1" t="s">
        <v>66</v>
      </c>
      <c r="AA30" s="1" t="b">
        <v>0</v>
      </c>
      <c r="AB30" s="1">
        <v>400.0</v>
      </c>
      <c r="AC30" s="1" t="b">
        <v>0</v>
      </c>
      <c r="AD30" s="1">
        <v>97.0</v>
      </c>
      <c r="AE30" s="1">
        <v>30.0</v>
      </c>
      <c r="AF30" s="2">
        <v>46153.0</v>
      </c>
      <c r="AG30" s="1" t="s">
        <v>102</v>
      </c>
      <c r="AH30" s="1" t="s">
        <v>102</v>
      </c>
      <c r="AI30" s="1" t="s">
        <v>102</v>
      </c>
      <c r="AJ30" s="1" t="s">
        <v>104</v>
      </c>
      <c r="AK30" s="1">
        <v>77550.0</v>
      </c>
      <c r="AL30" s="1" t="s">
        <v>71</v>
      </c>
      <c r="AM30" s="1" t="s">
        <v>72</v>
      </c>
      <c r="AN30" s="3" t="s">
        <v>177</v>
      </c>
      <c r="AO30" s="3" t="s">
        <v>178</v>
      </c>
      <c r="AP30" s="1">
        <v>4.1881998E7</v>
      </c>
      <c r="AQ30" s="1">
        <v>1891473.0</v>
      </c>
      <c r="AR30" s="1">
        <v>29.3084</v>
      </c>
      <c r="AS30" s="1">
        <v>-94.7649</v>
      </c>
      <c r="AT30" s="1">
        <v>38.4</v>
      </c>
      <c r="AU30" s="4">
        <f>AVERAGE($D$2:$D$830)</f>
        <v>239740.3426</v>
      </c>
      <c r="AV30" s="1">
        <v>-2.21</v>
      </c>
      <c r="AW30" s="4">
        <f>IFERROR(($AU96-D96)/$AU96,0)</f>
        <v>0.147081389</v>
      </c>
      <c r="AX30" s="4">
        <f>$AU96-D96</f>
        <v>35261.34259</v>
      </c>
      <c r="AY30" s="1">
        <v>27057.0</v>
      </c>
      <c r="AZ30" s="1">
        <v>4.1881998E7</v>
      </c>
      <c r="BA30" s="1" t="s">
        <v>176</v>
      </c>
    </row>
    <row r="31">
      <c r="A31" s="1" t="s">
        <v>179</v>
      </c>
      <c r="B31" s="1" t="s">
        <v>180</v>
      </c>
      <c r="D31" s="1">
        <v>170335.0</v>
      </c>
      <c r="E31" s="1">
        <v>180012.0</v>
      </c>
      <c r="F31" s="1">
        <v>1591.92</v>
      </c>
      <c r="G31" s="1">
        <v>47.77</v>
      </c>
      <c r="H31" s="1">
        <v>336.0</v>
      </c>
      <c r="I31" s="1">
        <v>8.0</v>
      </c>
      <c r="J31" s="1">
        <v>8.0</v>
      </c>
      <c r="K31" s="1">
        <v>16.0</v>
      </c>
      <c r="L31" s="1" t="b">
        <v>1</v>
      </c>
      <c r="M31" s="1" t="b">
        <v>0</v>
      </c>
      <c r="N31" s="1" t="b">
        <v>1</v>
      </c>
      <c r="O31" s="1" t="b">
        <v>1</v>
      </c>
      <c r="P31" s="1" t="b">
        <v>1</v>
      </c>
      <c r="Q31" s="1" t="b">
        <v>0</v>
      </c>
      <c r="R31" s="1" t="b">
        <v>1</v>
      </c>
      <c r="S31" s="1" t="s">
        <v>63</v>
      </c>
      <c r="T31" s="1" t="s">
        <v>64</v>
      </c>
      <c r="U31" s="1" t="s">
        <v>65</v>
      </c>
      <c r="V31" s="1">
        <v>4.9</v>
      </c>
      <c r="W31" s="1">
        <v>58.0</v>
      </c>
      <c r="X31" s="1">
        <v>1.0</v>
      </c>
      <c r="Y31" s="5">
        <v>46058.0</v>
      </c>
      <c r="Z31" s="1" t="s">
        <v>66</v>
      </c>
      <c r="AA31" s="1" t="b">
        <v>0</v>
      </c>
      <c r="AB31" s="1">
        <v>840.0</v>
      </c>
      <c r="AC31" s="1" t="b">
        <v>1</v>
      </c>
      <c r="AD31" s="1">
        <v>107.0</v>
      </c>
      <c r="AE31" s="1">
        <v>20.0</v>
      </c>
      <c r="AF31" s="2">
        <v>44018.0</v>
      </c>
      <c r="AG31" s="1" t="s">
        <v>67</v>
      </c>
      <c r="AH31" s="1" t="s">
        <v>76</v>
      </c>
      <c r="AI31" s="1" t="s">
        <v>76</v>
      </c>
      <c r="AJ31" s="1" t="s">
        <v>70</v>
      </c>
      <c r="AK31" s="1">
        <v>32550.0</v>
      </c>
      <c r="AL31" s="1" t="s">
        <v>71</v>
      </c>
      <c r="AM31" s="1" t="s">
        <v>72</v>
      </c>
      <c r="AN31" s="3" t="s">
        <v>181</v>
      </c>
      <c r="AO31" s="3" t="s">
        <v>182</v>
      </c>
      <c r="AP31" s="1">
        <v>4.2018927E7</v>
      </c>
      <c r="AQ31" s="1">
        <v>1902938.0</v>
      </c>
      <c r="AR31" s="1">
        <v>30.37723</v>
      </c>
      <c r="AS31" s="1">
        <v>-86.36312</v>
      </c>
      <c r="AT31" s="1">
        <v>57.2</v>
      </c>
      <c r="AU31" s="4">
        <f>AVERAGE($D$2:$D$554)</f>
        <v>239740.3426</v>
      </c>
      <c r="AV31" s="1">
        <v>-9.43</v>
      </c>
      <c r="AW31" s="4">
        <f>IFERROR(($AU67-D67)/$AU67,0)</f>
        <v>0.5377498889</v>
      </c>
      <c r="AX31" s="4">
        <f>$AU67-D67</f>
        <v>128920.3426</v>
      </c>
      <c r="AY31" s="1">
        <v>9677.0</v>
      </c>
      <c r="AZ31" s="1">
        <v>4.2018927E7</v>
      </c>
      <c r="BA31" s="1" t="s">
        <v>179</v>
      </c>
    </row>
    <row r="32">
      <c r="A32" s="1" t="s">
        <v>183</v>
      </c>
      <c r="B32" s="1">
        <v>1.2270751E7</v>
      </c>
      <c r="D32" s="1">
        <v>1094953.0</v>
      </c>
      <c r="E32" s="1">
        <v>1094953.0</v>
      </c>
      <c r="F32" s="1">
        <v>7156.56</v>
      </c>
      <c r="G32" s="1">
        <v>42.27</v>
      </c>
      <c r="H32" s="1">
        <v>365.0</v>
      </c>
      <c r="I32" s="1">
        <v>9.0</v>
      </c>
      <c r="J32" s="1">
        <v>8.0</v>
      </c>
      <c r="K32" s="1">
        <v>16.0</v>
      </c>
      <c r="L32" s="1" t="b">
        <v>1</v>
      </c>
      <c r="M32" s="1" t="b">
        <v>1</v>
      </c>
      <c r="N32" s="1" t="b">
        <v>1</v>
      </c>
      <c r="O32" s="1" t="b">
        <v>1</v>
      </c>
      <c r="P32" s="1" t="b">
        <v>1</v>
      </c>
      <c r="Q32" s="1" t="b">
        <v>1</v>
      </c>
      <c r="R32" s="1" t="b">
        <v>1</v>
      </c>
      <c r="S32" s="1" t="s">
        <v>63</v>
      </c>
      <c r="T32" s="1" t="s">
        <v>64</v>
      </c>
      <c r="U32" s="1" t="s">
        <v>65</v>
      </c>
      <c r="V32" s="1">
        <v>4.95</v>
      </c>
      <c r="W32" s="1">
        <v>25.0</v>
      </c>
      <c r="X32" s="1">
        <v>3.0</v>
      </c>
      <c r="Y32" s="5">
        <v>46193.0</v>
      </c>
      <c r="Z32" s="1" t="s">
        <v>66</v>
      </c>
      <c r="AA32" s="1" t="b">
        <v>0</v>
      </c>
      <c r="AB32" s="1">
        <v>2800.0</v>
      </c>
      <c r="AC32" s="1" t="b">
        <v>1</v>
      </c>
      <c r="AD32" s="1">
        <v>153.0</v>
      </c>
      <c r="AE32" s="1">
        <v>30.0</v>
      </c>
      <c r="AF32" s="2">
        <v>46158.0</v>
      </c>
      <c r="AG32" s="1" t="s">
        <v>81</v>
      </c>
      <c r="AH32" s="1" t="s">
        <v>82</v>
      </c>
      <c r="AI32" s="1" t="s">
        <v>82</v>
      </c>
      <c r="AJ32" s="1" t="s">
        <v>70</v>
      </c>
      <c r="AK32" s="1">
        <v>33924.0</v>
      </c>
      <c r="AL32" s="1" t="s">
        <v>71</v>
      </c>
      <c r="AM32" s="1" t="s">
        <v>72</v>
      </c>
      <c r="AN32" s="3" t="s">
        <v>184</v>
      </c>
      <c r="AO32" s="3" t="s">
        <v>185</v>
      </c>
      <c r="AP32" s="1">
        <v>4.3497837E7</v>
      </c>
      <c r="AQ32" s="1">
        <v>1983940.0</v>
      </c>
      <c r="AR32" s="1">
        <v>26.49449</v>
      </c>
      <c r="AS32" s="1">
        <v>-82.18713</v>
      </c>
      <c r="AT32" s="1">
        <v>52.23</v>
      </c>
      <c r="AU32" s="4">
        <f>AVERAGE($D$2:$D$501)</f>
        <v>239740.3426</v>
      </c>
      <c r="AV32" s="1">
        <v>-9.96</v>
      </c>
      <c r="AW32" s="4">
        <f>IFERROR(($AU2-D2)/$AU2,0)</f>
        <v>0.3088147026</v>
      </c>
      <c r="AX32" s="4">
        <f>$AU2-D2</f>
        <v>74035.34259</v>
      </c>
      <c r="AY32" s="1">
        <v>0.0</v>
      </c>
      <c r="AZ32" s="1">
        <v>4.3497837E7</v>
      </c>
      <c r="BA32" s="1" t="s">
        <v>183</v>
      </c>
    </row>
    <row r="33">
      <c r="A33" s="1" t="s">
        <v>186</v>
      </c>
      <c r="B33" s="1">
        <v>1.10337689E8</v>
      </c>
      <c r="D33" s="1">
        <v>227226.0</v>
      </c>
      <c r="E33" s="1">
        <v>273820.0</v>
      </c>
      <c r="F33" s="1">
        <v>1600.18</v>
      </c>
      <c r="G33" s="1">
        <v>51.64</v>
      </c>
      <c r="H33" s="1">
        <v>282.0</v>
      </c>
      <c r="I33" s="1">
        <v>12.0</v>
      </c>
      <c r="J33" s="1">
        <v>6.0</v>
      </c>
      <c r="K33" s="1">
        <v>16.0</v>
      </c>
      <c r="L33" s="1" t="b">
        <v>1</v>
      </c>
      <c r="M33" s="1" t="b">
        <v>0</v>
      </c>
      <c r="N33" s="1" t="b">
        <v>0</v>
      </c>
      <c r="O33" s="1" t="b">
        <v>1</v>
      </c>
      <c r="P33" s="1" t="b">
        <v>1</v>
      </c>
      <c r="Q33" s="1" t="b">
        <v>0</v>
      </c>
      <c r="R33" s="1" t="b">
        <v>1</v>
      </c>
      <c r="S33" s="1" t="s">
        <v>63</v>
      </c>
      <c r="T33" s="1" t="s">
        <v>64</v>
      </c>
      <c r="U33" s="1" t="s">
        <v>65</v>
      </c>
      <c r="V33" s="1">
        <v>5.0</v>
      </c>
      <c r="W33" s="1">
        <v>3.0</v>
      </c>
      <c r="X33" s="1">
        <v>1.0</v>
      </c>
      <c r="Y33" s="5">
        <v>46193.0</v>
      </c>
      <c r="Z33" s="1" t="s">
        <v>66</v>
      </c>
      <c r="AA33" s="1" t="b">
        <v>0</v>
      </c>
      <c r="AB33" s="1">
        <v>866.0</v>
      </c>
      <c r="AC33" s="1" t="b">
        <v>1</v>
      </c>
      <c r="AD33" s="1">
        <v>142.0</v>
      </c>
      <c r="AE33" s="1">
        <v>51.0</v>
      </c>
      <c r="AF33" s="2">
        <v>46155.0</v>
      </c>
      <c r="AG33" s="1" t="s">
        <v>92</v>
      </c>
      <c r="AH33" s="1" t="s">
        <v>93</v>
      </c>
      <c r="AI33" s="1" t="s">
        <v>93</v>
      </c>
      <c r="AJ33" s="1" t="s">
        <v>95</v>
      </c>
      <c r="AK33" s="1">
        <v>31522.0</v>
      </c>
      <c r="AL33" s="1" t="s">
        <v>71</v>
      </c>
      <c r="AM33" s="1" t="s">
        <v>72</v>
      </c>
      <c r="AN33" s="3" t="s">
        <v>187</v>
      </c>
      <c r="AO33" s="3" t="s">
        <v>188</v>
      </c>
      <c r="AP33" s="1">
        <v>4.3958569E7</v>
      </c>
      <c r="AQ33" s="1" t="s">
        <v>189</v>
      </c>
      <c r="AR33" s="1">
        <v>31.1386</v>
      </c>
      <c r="AS33" s="1">
        <v>-81.3947</v>
      </c>
      <c r="AT33" s="1">
        <v>53.56</v>
      </c>
      <c r="AU33" s="4">
        <f>AVERAGE($D$2:$D$1001)</f>
        <v>239740.3426</v>
      </c>
      <c r="AV33" s="1">
        <v>-1.92</v>
      </c>
      <c r="AW33" s="4">
        <f>IFERROR(($AU514-D514)/$AU514,0)</f>
        <v>0</v>
      </c>
      <c r="AX33" s="4">
        <f>$AU514-D514</f>
        <v>0</v>
      </c>
      <c r="AY33" s="1">
        <v>46594.0</v>
      </c>
      <c r="AZ33" s="1">
        <v>4.3958569E7</v>
      </c>
      <c r="BA33" s="1" t="s">
        <v>186</v>
      </c>
    </row>
    <row r="34">
      <c r="A34" s="1" t="s">
        <v>190</v>
      </c>
      <c r="B34" s="1">
        <v>2.209137E7</v>
      </c>
      <c r="D34" s="1">
        <v>530686.0</v>
      </c>
      <c r="E34" s="1">
        <v>858685.0</v>
      </c>
      <c r="F34" s="1">
        <v>4696.34</v>
      </c>
      <c r="G34" s="1">
        <v>50.0</v>
      </c>
      <c r="H34" s="1">
        <v>275.0</v>
      </c>
      <c r="I34" s="1">
        <v>11.0</v>
      </c>
      <c r="J34" s="1">
        <v>4.0</v>
      </c>
      <c r="K34" s="1">
        <v>16.0</v>
      </c>
      <c r="L34" s="1" t="b">
        <v>1</v>
      </c>
      <c r="M34" s="1" t="b">
        <v>0</v>
      </c>
      <c r="N34" s="1" t="b">
        <v>0</v>
      </c>
      <c r="O34" s="1" t="b">
        <v>1</v>
      </c>
      <c r="P34" s="1" t="b">
        <v>1</v>
      </c>
      <c r="Q34" s="1" t="b">
        <v>0</v>
      </c>
      <c r="R34" s="1" t="b">
        <v>1</v>
      </c>
      <c r="S34" s="1" t="s">
        <v>63</v>
      </c>
      <c r="T34" s="1" t="s">
        <v>64</v>
      </c>
      <c r="U34" s="1" t="s">
        <v>65</v>
      </c>
      <c r="V34" s="1">
        <v>5.0</v>
      </c>
      <c r="W34" s="1">
        <v>17.0</v>
      </c>
      <c r="X34" s="1">
        <v>4.0</v>
      </c>
      <c r="Y34" s="5">
        <v>46058.0</v>
      </c>
      <c r="Z34" s="1" t="s">
        <v>66</v>
      </c>
      <c r="AA34" s="1" t="b">
        <v>1</v>
      </c>
      <c r="AB34" s="1">
        <v>800.0</v>
      </c>
      <c r="AC34" s="1" t="b">
        <v>0</v>
      </c>
      <c r="AD34" s="1">
        <v>113.0</v>
      </c>
      <c r="AE34" s="1">
        <v>30.0</v>
      </c>
      <c r="AF34" s="2">
        <v>46153.0</v>
      </c>
      <c r="AG34" s="1" t="s">
        <v>169</v>
      </c>
      <c r="AH34" s="1" t="s">
        <v>169</v>
      </c>
      <c r="AI34" s="1" t="s">
        <v>169</v>
      </c>
      <c r="AJ34" s="1" t="s">
        <v>70</v>
      </c>
      <c r="AK34" s="1">
        <v>33040.0</v>
      </c>
      <c r="AL34" s="1" t="s">
        <v>71</v>
      </c>
      <c r="AM34" s="1" t="s">
        <v>72</v>
      </c>
      <c r="AN34" s="3" t="s">
        <v>191</v>
      </c>
      <c r="AO34" s="3" t="s">
        <v>192</v>
      </c>
      <c r="AP34" s="1">
        <v>4.5132967E7</v>
      </c>
      <c r="AQ34" s="1">
        <v>2050701.0</v>
      </c>
      <c r="AR34" s="1">
        <v>24.5525</v>
      </c>
      <c r="AS34" s="1">
        <v>-81.8035</v>
      </c>
      <c r="AT34" s="1">
        <v>73.06</v>
      </c>
      <c r="AU34" s="4">
        <f>AVERAGE($D$2:$D$501)</f>
        <v>239740.3426</v>
      </c>
      <c r="AV34" s="1">
        <v>-23.06</v>
      </c>
      <c r="AW34" s="4">
        <f>IFERROR(($AU23-D23)/$AU23,0)</f>
        <v>0.3973062755</v>
      </c>
      <c r="AX34" s="4">
        <f>$AU23-D23</f>
        <v>95250.34259</v>
      </c>
      <c r="AY34" s="1">
        <v>327999.0</v>
      </c>
      <c r="AZ34" s="1">
        <v>4.5132967E7</v>
      </c>
      <c r="BA34" s="1" t="s">
        <v>190</v>
      </c>
    </row>
    <row r="35">
      <c r="A35" s="1" t="s">
        <v>193</v>
      </c>
      <c r="B35" s="1">
        <v>4.987419E7</v>
      </c>
      <c r="D35" s="1">
        <v>145519.0</v>
      </c>
      <c r="E35" s="1">
        <v>148791.0</v>
      </c>
      <c r="F35" s="1">
        <v>1287.78</v>
      </c>
      <c r="G35" s="1">
        <v>33.53</v>
      </c>
      <c r="H35" s="1">
        <v>356.0</v>
      </c>
      <c r="I35" s="1">
        <v>5.0</v>
      </c>
      <c r="J35" s="1">
        <v>5.0</v>
      </c>
      <c r="K35" s="1">
        <v>15.0</v>
      </c>
      <c r="L35" s="1" t="b">
        <v>1</v>
      </c>
      <c r="M35" s="1" t="b">
        <v>0</v>
      </c>
      <c r="N35" s="1" t="b">
        <v>1</v>
      </c>
      <c r="O35" s="1" t="b">
        <v>1</v>
      </c>
      <c r="P35" s="1" t="b">
        <v>1</v>
      </c>
      <c r="Q35" s="1" t="b">
        <v>0</v>
      </c>
      <c r="R35" s="1" t="b">
        <v>0</v>
      </c>
      <c r="S35" s="1" t="s">
        <v>63</v>
      </c>
      <c r="T35" s="1" t="s">
        <v>64</v>
      </c>
      <c r="U35" s="1" t="s">
        <v>65</v>
      </c>
      <c r="V35" s="1">
        <v>5.0</v>
      </c>
      <c r="W35" s="1">
        <v>53.0</v>
      </c>
      <c r="X35" s="1">
        <v>2.0</v>
      </c>
      <c r="Y35" s="5">
        <v>46058.0</v>
      </c>
      <c r="Z35" s="1" t="s">
        <v>66</v>
      </c>
      <c r="AA35" s="1" t="b">
        <v>1</v>
      </c>
      <c r="AB35" s="1">
        <v>500.0</v>
      </c>
      <c r="AC35" s="1" t="b">
        <v>0</v>
      </c>
      <c r="AD35" s="1">
        <v>113.0</v>
      </c>
      <c r="AE35" s="1">
        <v>35.0</v>
      </c>
      <c r="AF35" s="2">
        <v>46158.0</v>
      </c>
      <c r="AG35" s="1" t="s">
        <v>102</v>
      </c>
      <c r="AH35" s="1" t="s">
        <v>102</v>
      </c>
      <c r="AI35" s="1" t="s">
        <v>102</v>
      </c>
      <c r="AJ35" s="1" t="s">
        <v>104</v>
      </c>
      <c r="AK35" s="1">
        <v>77550.0</v>
      </c>
      <c r="AL35" s="1" t="s">
        <v>71</v>
      </c>
      <c r="AM35" s="1" t="s">
        <v>72</v>
      </c>
      <c r="AN35" s="3" t="s">
        <v>194</v>
      </c>
      <c r="AO35" s="3" t="s">
        <v>195</v>
      </c>
      <c r="AP35" s="1">
        <v>4.5547613E7</v>
      </c>
      <c r="AQ35" s="1">
        <v>1958098.0</v>
      </c>
      <c r="AR35" s="1">
        <v>29.309</v>
      </c>
      <c r="AS35" s="1">
        <v>-94.7638</v>
      </c>
      <c r="AT35" s="1">
        <v>45.23</v>
      </c>
      <c r="AU35" s="4">
        <f>AVERAGE($D$2:$D$830)</f>
        <v>239740.3426</v>
      </c>
      <c r="AV35" s="1">
        <v>-11.7</v>
      </c>
      <c r="AW35" s="4">
        <f>IFERROR(($AU53-D53)/$AU53,0)</f>
        <v>0.4534670361</v>
      </c>
      <c r="AX35" s="4">
        <f>$AU53-D53</f>
        <v>108714.3426</v>
      </c>
      <c r="AY35" s="1">
        <v>3272.0</v>
      </c>
      <c r="AZ35" s="1">
        <v>4.5547613E7</v>
      </c>
      <c r="BA35" s="1" t="s">
        <v>193</v>
      </c>
    </row>
    <row r="36">
      <c r="A36" s="1" t="s">
        <v>196</v>
      </c>
      <c r="B36" s="1">
        <v>8.5178833E7</v>
      </c>
      <c r="D36" s="1">
        <v>202234.0</v>
      </c>
      <c r="E36" s="1">
        <v>403515.0</v>
      </c>
      <c r="F36" s="1">
        <v>2974.03</v>
      </c>
      <c r="G36" s="1">
        <v>51.13</v>
      </c>
      <c r="H36" s="1">
        <v>187.0</v>
      </c>
      <c r="I36" s="1">
        <v>7.0</v>
      </c>
      <c r="J36" s="1">
        <v>6.0</v>
      </c>
      <c r="K36" s="1">
        <v>16.0</v>
      </c>
      <c r="L36" s="1" t="b">
        <v>1</v>
      </c>
      <c r="M36" s="1" t="b">
        <v>0</v>
      </c>
      <c r="N36" s="1" t="b">
        <v>0</v>
      </c>
      <c r="O36" s="1" t="b">
        <v>1</v>
      </c>
      <c r="P36" s="1" t="b">
        <v>1</v>
      </c>
      <c r="Q36" s="1" t="b">
        <v>0</v>
      </c>
      <c r="R36" s="1" t="b">
        <v>1</v>
      </c>
      <c r="S36" s="1" t="s">
        <v>63</v>
      </c>
      <c r="T36" s="1" t="s">
        <v>64</v>
      </c>
      <c r="U36" s="1" t="s">
        <v>65</v>
      </c>
      <c r="V36" s="1">
        <v>4.9</v>
      </c>
      <c r="W36" s="1">
        <v>71.0</v>
      </c>
      <c r="X36" s="1">
        <v>3.0</v>
      </c>
      <c r="Y36" s="5">
        <v>46193.0</v>
      </c>
      <c r="Z36" s="1" t="s">
        <v>66</v>
      </c>
      <c r="AA36" s="1" t="b">
        <v>0</v>
      </c>
      <c r="AB36" s="1">
        <v>600.0</v>
      </c>
      <c r="AC36" s="1" t="b">
        <v>0</v>
      </c>
      <c r="AD36" s="1">
        <v>68.0</v>
      </c>
      <c r="AE36" s="1">
        <v>9.0</v>
      </c>
      <c r="AF36" s="2">
        <v>45941.0</v>
      </c>
      <c r="AG36" s="1" t="s">
        <v>67</v>
      </c>
      <c r="AH36" s="1" t="s">
        <v>76</v>
      </c>
      <c r="AI36" s="1" t="s">
        <v>76</v>
      </c>
      <c r="AJ36" s="1" t="s">
        <v>70</v>
      </c>
      <c r="AK36" s="1">
        <v>32550.0</v>
      </c>
      <c r="AL36" s="1" t="s">
        <v>71</v>
      </c>
      <c r="AM36" s="1" t="s">
        <v>72</v>
      </c>
      <c r="AN36" s="3" t="s">
        <v>197</v>
      </c>
      <c r="AO36" s="3" t="s">
        <v>198</v>
      </c>
      <c r="AP36" s="1">
        <v>4.5984966E7</v>
      </c>
      <c r="AQ36" s="1">
        <v>2059284.0</v>
      </c>
      <c r="AR36" s="1">
        <v>30.37223</v>
      </c>
      <c r="AS36" s="1">
        <v>-86.34602</v>
      </c>
      <c r="AT36" s="1">
        <v>57.2</v>
      </c>
      <c r="AU36" s="4">
        <f>AVERAGE($D$2:$D$554)</f>
        <v>239740.3426</v>
      </c>
      <c r="AV36" s="1">
        <v>-6.07</v>
      </c>
      <c r="AW36" s="4">
        <f>IFERROR(($AU46-D46)/$AU46,0)</f>
        <v>0.09661011719</v>
      </c>
      <c r="AX36" s="4">
        <f>$AU46-D46</f>
        <v>23161.34259</v>
      </c>
      <c r="AY36" s="1">
        <v>201281.0</v>
      </c>
      <c r="AZ36" s="1">
        <v>4.5984966E7</v>
      </c>
      <c r="BA36" s="1" t="s">
        <v>196</v>
      </c>
    </row>
    <row r="37">
      <c r="A37" s="1" t="s">
        <v>199</v>
      </c>
      <c r="B37" s="1">
        <v>3.44794577E8</v>
      </c>
      <c r="D37" s="1">
        <v>112173.0</v>
      </c>
      <c r="E37" s="1">
        <v>259843.0</v>
      </c>
      <c r="F37" s="1">
        <v>1274.69</v>
      </c>
      <c r="G37" s="1">
        <v>47.06</v>
      </c>
      <c r="H37" s="1">
        <v>225.0</v>
      </c>
      <c r="I37" s="1">
        <v>5.0</v>
      </c>
      <c r="J37" s="1">
        <v>3.0</v>
      </c>
      <c r="K37" s="1">
        <v>12.0</v>
      </c>
      <c r="L37" s="1" t="b">
        <v>1</v>
      </c>
      <c r="M37" s="1" t="b">
        <v>0</v>
      </c>
      <c r="N37" s="1" t="b">
        <v>0</v>
      </c>
      <c r="O37" s="1" t="b">
        <v>1</v>
      </c>
      <c r="P37" s="1" t="b">
        <v>1</v>
      </c>
      <c r="Q37" s="1" t="b">
        <v>0</v>
      </c>
      <c r="R37" s="1" t="b">
        <v>1</v>
      </c>
      <c r="S37" s="1" t="s">
        <v>63</v>
      </c>
      <c r="T37" s="1" t="s">
        <v>64</v>
      </c>
      <c r="U37" s="1" t="s">
        <v>65</v>
      </c>
      <c r="V37" s="1">
        <v>4.9</v>
      </c>
      <c r="W37" s="1">
        <v>81.0</v>
      </c>
      <c r="X37" s="1">
        <v>7.0</v>
      </c>
      <c r="Y37" s="5">
        <v>46193.0</v>
      </c>
      <c r="Z37" s="1" t="s">
        <v>66</v>
      </c>
      <c r="AA37" s="1" t="b">
        <v>0</v>
      </c>
      <c r="AB37" s="1">
        <v>400.0</v>
      </c>
      <c r="AC37" s="1" t="b">
        <v>0</v>
      </c>
      <c r="AD37" s="1">
        <v>88.0</v>
      </c>
      <c r="AE37" s="1">
        <v>16.0</v>
      </c>
      <c r="AF37" s="2">
        <v>44683.0</v>
      </c>
      <c r="AG37" s="1" t="s">
        <v>67</v>
      </c>
      <c r="AH37" s="1" t="s">
        <v>68</v>
      </c>
      <c r="AI37" s="1" t="s">
        <v>69</v>
      </c>
      <c r="AJ37" s="1" t="s">
        <v>70</v>
      </c>
      <c r="AK37" s="1">
        <v>32413.0</v>
      </c>
      <c r="AL37" s="1" t="s">
        <v>71</v>
      </c>
      <c r="AM37" s="1" t="s">
        <v>72</v>
      </c>
      <c r="AN37" s="3" t="s">
        <v>200</v>
      </c>
      <c r="AO37" s="3" t="s">
        <v>201</v>
      </c>
      <c r="AP37" s="1">
        <v>4.7811148E7</v>
      </c>
      <c r="AQ37" s="1">
        <v>482765.0</v>
      </c>
      <c r="AR37" s="1">
        <v>30.29306</v>
      </c>
      <c r="AS37" s="1">
        <v>-86.05668</v>
      </c>
      <c r="AT37" s="1">
        <v>61.91</v>
      </c>
      <c r="AU37" s="4">
        <f>AVERAGE($D$2:$D$1233)</f>
        <v>239740.3426</v>
      </c>
      <c r="AV37" s="1">
        <v>-14.85</v>
      </c>
      <c r="AW37" s="4">
        <f>IFERROR(($AU783-D783)/$AU783,0)</f>
        <v>0</v>
      </c>
      <c r="AX37" s="4">
        <f>$AU783-D783</f>
        <v>0</v>
      </c>
      <c r="AY37" s="1">
        <v>147670.0</v>
      </c>
      <c r="AZ37" s="1">
        <v>4.7811148E7</v>
      </c>
      <c r="BA37" s="1" t="s">
        <v>199</v>
      </c>
    </row>
    <row r="38">
      <c r="A38" s="1" t="s">
        <v>202</v>
      </c>
      <c r="B38" s="1">
        <v>9286538.0</v>
      </c>
      <c r="D38" s="1">
        <v>682652.0</v>
      </c>
      <c r="E38" s="1">
        <v>703735.0</v>
      </c>
      <c r="F38" s="1">
        <v>3771.56</v>
      </c>
      <c r="G38" s="1">
        <v>54.03</v>
      </c>
      <c r="H38" s="1">
        <v>347.0</v>
      </c>
      <c r="I38" s="1">
        <v>5.0</v>
      </c>
      <c r="J38" s="1">
        <v>7.0</v>
      </c>
      <c r="K38" s="1">
        <v>12.0</v>
      </c>
      <c r="L38" s="1" t="b">
        <v>1</v>
      </c>
      <c r="M38" s="1" t="b">
        <v>1</v>
      </c>
      <c r="N38" s="1" t="b">
        <v>1</v>
      </c>
      <c r="O38" s="1" t="b">
        <v>1</v>
      </c>
      <c r="P38" s="1" t="b">
        <v>1</v>
      </c>
      <c r="Q38" s="1" t="b">
        <v>1</v>
      </c>
      <c r="R38" s="1" t="b">
        <v>1</v>
      </c>
      <c r="S38" s="1" t="s">
        <v>63</v>
      </c>
      <c r="T38" s="1" t="s">
        <v>64</v>
      </c>
      <c r="U38" s="1" t="s">
        <v>65</v>
      </c>
      <c r="V38" s="1">
        <v>4.85</v>
      </c>
      <c r="W38" s="1">
        <v>86.0</v>
      </c>
      <c r="X38" s="1">
        <v>1.0</v>
      </c>
      <c r="Y38" s="5">
        <v>46193.0</v>
      </c>
      <c r="Z38" s="1" t="s">
        <v>66</v>
      </c>
      <c r="AA38" s="1" t="b">
        <v>1</v>
      </c>
      <c r="AB38" s="1">
        <v>1500.0</v>
      </c>
      <c r="AC38" s="1" t="b">
        <v>0</v>
      </c>
      <c r="AD38" s="1">
        <v>181.0</v>
      </c>
      <c r="AE38" s="1">
        <v>39.0</v>
      </c>
      <c r="AF38" s="2">
        <v>46155.0</v>
      </c>
      <c r="AG38" s="1" t="s">
        <v>203</v>
      </c>
      <c r="AH38" s="1" t="s">
        <v>204</v>
      </c>
      <c r="AI38" s="1" t="s">
        <v>203</v>
      </c>
      <c r="AJ38" s="1" t="s">
        <v>70</v>
      </c>
      <c r="AK38" s="1">
        <v>34242.0</v>
      </c>
      <c r="AL38" s="1" t="s">
        <v>71</v>
      </c>
      <c r="AM38" s="1" t="s">
        <v>72</v>
      </c>
      <c r="AN38" s="3" t="s">
        <v>205</v>
      </c>
      <c r="AO38" s="3" t="s">
        <v>206</v>
      </c>
      <c r="AP38" s="1">
        <v>4.8378411E7</v>
      </c>
      <c r="AQ38" s="1">
        <v>2254087.0</v>
      </c>
      <c r="AR38" s="1">
        <v>27.29766</v>
      </c>
      <c r="AS38" s="1">
        <v>-82.5585</v>
      </c>
      <c r="AT38" s="1">
        <v>62.57</v>
      </c>
      <c r="AU38" s="4">
        <f>AVERAGE($D$2:$D$1012)</f>
        <v>239740.3426</v>
      </c>
      <c r="AV38" s="1">
        <v>-8.54</v>
      </c>
      <c r="AW38" s="4">
        <f>IFERROR(($AU7-D7)/$AU7,0)</f>
        <v>0.5059446453</v>
      </c>
      <c r="AX38" s="4">
        <f>$AU7-D7</f>
        <v>121295.3426</v>
      </c>
      <c r="AY38" s="1">
        <v>21083.0</v>
      </c>
      <c r="AZ38" s="1">
        <v>4.8378411E7</v>
      </c>
      <c r="BA38" s="1" t="s">
        <v>202</v>
      </c>
    </row>
    <row r="39">
      <c r="A39" s="1" t="s">
        <v>207</v>
      </c>
      <c r="B39" s="1">
        <v>1.89925974E8</v>
      </c>
      <c r="D39" s="1">
        <v>178697.0</v>
      </c>
      <c r="E39" s="1">
        <v>189958.0</v>
      </c>
      <c r="F39" s="1">
        <v>1160.37</v>
      </c>
      <c r="G39" s="1">
        <v>47.98</v>
      </c>
      <c r="H39" s="1">
        <v>342.0</v>
      </c>
      <c r="I39" s="1">
        <v>5.0</v>
      </c>
      <c r="J39" s="1">
        <v>5.0</v>
      </c>
      <c r="K39" s="1">
        <v>16.0</v>
      </c>
      <c r="L39" s="1" t="b">
        <v>1</v>
      </c>
      <c r="M39" s="1" t="b">
        <v>0</v>
      </c>
      <c r="N39" s="1" t="b">
        <v>0</v>
      </c>
      <c r="O39" s="1" t="b">
        <v>1</v>
      </c>
      <c r="P39" s="1" t="b">
        <v>1</v>
      </c>
      <c r="Q39" s="1" t="b">
        <v>1</v>
      </c>
      <c r="R39" s="1" t="b">
        <v>0</v>
      </c>
      <c r="S39" s="1" t="s">
        <v>63</v>
      </c>
      <c r="T39" s="1" t="s">
        <v>64</v>
      </c>
      <c r="U39" s="1" t="s">
        <v>65</v>
      </c>
      <c r="V39" s="1">
        <v>5.0</v>
      </c>
      <c r="W39" s="1">
        <v>105.0</v>
      </c>
      <c r="X39" s="1">
        <v>2.0</v>
      </c>
      <c r="Y39" s="5">
        <v>46058.0</v>
      </c>
      <c r="Z39" s="1" t="s">
        <v>66</v>
      </c>
      <c r="AA39" s="1" t="b">
        <v>1</v>
      </c>
      <c r="AB39" s="1">
        <v>395.0</v>
      </c>
      <c r="AC39" s="1" t="b">
        <v>1</v>
      </c>
      <c r="AD39" s="1">
        <v>154.0</v>
      </c>
      <c r="AE39" s="1">
        <v>47.0</v>
      </c>
      <c r="AF39" s="2">
        <v>46155.0</v>
      </c>
      <c r="AG39" s="1" t="s">
        <v>102</v>
      </c>
      <c r="AH39" s="1" t="s">
        <v>103</v>
      </c>
      <c r="AI39" s="1" t="s">
        <v>103</v>
      </c>
      <c r="AJ39" s="1" t="s">
        <v>104</v>
      </c>
      <c r="AK39" s="1">
        <v>77650.0</v>
      </c>
      <c r="AL39" s="1" t="s">
        <v>71</v>
      </c>
      <c r="AM39" s="1" t="s">
        <v>72</v>
      </c>
      <c r="AN39" s="3" t="s">
        <v>208</v>
      </c>
      <c r="AO39" s="3" t="s">
        <v>209</v>
      </c>
      <c r="AP39" s="1">
        <v>5.2010148E7</v>
      </c>
      <c r="AQ39" s="1">
        <v>2513946.0</v>
      </c>
      <c r="AR39" s="1">
        <v>29.4768</v>
      </c>
      <c r="AS39" s="1">
        <v>-94.5775</v>
      </c>
      <c r="AT39" s="1">
        <v>45.23</v>
      </c>
      <c r="AU39" s="4">
        <f t="shared" ref="AU39:AU40" si="7">AVERAGE($D$2:$D$830)</f>
        <v>239740.3426</v>
      </c>
      <c r="AV39" s="1">
        <v>2.75</v>
      </c>
      <c r="AW39" s="4">
        <f>IFERROR(($AU27-D27)/$AU27,0)</f>
        <v>0.2629984671</v>
      </c>
      <c r="AX39" s="4">
        <f>$AU27-D27</f>
        <v>63051.34259</v>
      </c>
      <c r="AY39" s="1">
        <v>11261.0</v>
      </c>
      <c r="AZ39" s="1">
        <v>5.2010148E7</v>
      </c>
      <c r="BA39" s="1" t="s">
        <v>207</v>
      </c>
    </row>
    <row r="40">
      <c r="A40" s="1" t="s">
        <v>210</v>
      </c>
      <c r="B40" s="1">
        <v>2.40711438E8</v>
      </c>
      <c r="D40" s="1">
        <v>131313.0</v>
      </c>
      <c r="E40" s="1">
        <v>139606.0</v>
      </c>
      <c r="F40" s="1">
        <v>1085.23</v>
      </c>
      <c r="G40" s="1">
        <v>37.46</v>
      </c>
      <c r="H40" s="1">
        <v>350.0</v>
      </c>
      <c r="I40" s="1">
        <v>6.0</v>
      </c>
      <c r="J40" s="1">
        <v>3.0</v>
      </c>
      <c r="K40" s="1">
        <v>16.0</v>
      </c>
      <c r="L40" s="1" t="b">
        <v>1</v>
      </c>
      <c r="M40" s="1" t="b">
        <v>0</v>
      </c>
      <c r="N40" s="1" t="b">
        <v>1</v>
      </c>
      <c r="O40" s="1" t="b">
        <v>1</v>
      </c>
      <c r="P40" s="1" t="b">
        <v>1</v>
      </c>
      <c r="Q40" s="1" t="b">
        <v>0</v>
      </c>
      <c r="R40" s="1" t="b">
        <v>0</v>
      </c>
      <c r="S40" s="1" t="s">
        <v>63</v>
      </c>
      <c r="T40" s="1" t="s">
        <v>64</v>
      </c>
      <c r="U40" s="1" t="s">
        <v>65</v>
      </c>
      <c r="V40" s="1">
        <v>5.0</v>
      </c>
      <c r="W40" s="1">
        <v>110.0</v>
      </c>
      <c r="X40" s="1">
        <v>2.0</v>
      </c>
      <c r="Y40" s="1">
        <v>1.0</v>
      </c>
      <c r="Z40" s="1" t="s">
        <v>66</v>
      </c>
      <c r="AA40" s="1" t="b">
        <v>0</v>
      </c>
      <c r="AB40" s="1">
        <v>350.0</v>
      </c>
      <c r="AC40" s="1" t="b">
        <v>1</v>
      </c>
      <c r="AD40" s="1">
        <v>121.0</v>
      </c>
      <c r="AE40" s="1">
        <v>44.0</v>
      </c>
      <c r="AF40" s="2">
        <v>46155.0</v>
      </c>
      <c r="AG40" s="1" t="s">
        <v>102</v>
      </c>
      <c r="AH40" s="1" t="s">
        <v>102</v>
      </c>
      <c r="AI40" s="1" t="s">
        <v>102</v>
      </c>
      <c r="AJ40" s="1" t="s">
        <v>104</v>
      </c>
      <c r="AK40" s="1">
        <v>77554.0</v>
      </c>
      <c r="AL40" s="1" t="s">
        <v>71</v>
      </c>
      <c r="AM40" s="1" t="s">
        <v>72</v>
      </c>
      <c r="AN40" s="3" t="s">
        <v>211</v>
      </c>
      <c r="AO40" s="3" t="s">
        <v>212</v>
      </c>
      <c r="AP40" s="1">
        <v>5.2989888E7</v>
      </c>
      <c r="AQ40" s="1">
        <v>2507317.0</v>
      </c>
      <c r="AR40" s="1">
        <v>29.17277</v>
      </c>
      <c r="AS40" s="1">
        <v>-94.98579</v>
      </c>
      <c r="AT40" s="1">
        <v>38.4</v>
      </c>
      <c r="AU40" s="4">
        <f t="shared" si="7"/>
        <v>239740.3426</v>
      </c>
      <c r="AV40" s="1">
        <v>-0.94</v>
      </c>
      <c r="AW40" s="4">
        <f>IFERROR(($AU73-D73)/$AU73,0)</f>
        <v>-1.23081353</v>
      </c>
      <c r="AX40" s="4">
        <f>$AU73-D73</f>
        <v>-295075.6574</v>
      </c>
      <c r="AY40" s="1">
        <v>8293.0</v>
      </c>
      <c r="AZ40" s="1">
        <v>5.2989888E7</v>
      </c>
      <c r="BA40" s="1" t="s">
        <v>210</v>
      </c>
    </row>
    <row r="41">
      <c r="A41" s="1" t="s">
        <v>213</v>
      </c>
      <c r="B41" s="1">
        <v>1.81248718E8</v>
      </c>
      <c r="D41" s="1">
        <v>404573.0</v>
      </c>
      <c r="E41" s="1">
        <v>649201.0</v>
      </c>
      <c r="F41" s="1">
        <v>2544.48</v>
      </c>
      <c r="G41" s="1">
        <v>71.95</v>
      </c>
      <c r="H41" s="1">
        <v>221.0</v>
      </c>
      <c r="I41" s="1">
        <v>7.0</v>
      </c>
      <c r="J41" s="1">
        <v>8.0</v>
      </c>
      <c r="K41" s="1">
        <v>16.0</v>
      </c>
      <c r="L41" s="1" t="b">
        <v>1</v>
      </c>
      <c r="M41" s="1" t="b">
        <v>0</v>
      </c>
      <c r="N41" s="1" t="b">
        <v>1</v>
      </c>
      <c r="O41" s="1" t="b">
        <v>1</v>
      </c>
      <c r="P41" s="1" t="b">
        <v>1</v>
      </c>
      <c r="Q41" s="1" t="b">
        <v>0</v>
      </c>
      <c r="R41" s="1" t="b">
        <v>1</v>
      </c>
      <c r="S41" s="1" t="s">
        <v>63</v>
      </c>
      <c r="T41" s="1" t="s">
        <v>64</v>
      </c>
      <c r="U41" s="1" t="s">
        <v>65</v>
      </c>
      <c r="V41" s="1">
        <v>5.0</v>
      </c>
      <c r="W41" s="1">
        <v>138.0</v>
      </c>
      <c r="X41" s="1">
        <v>4.0</v>
      </c>
      <c r="Y41" s="5">
        <v>46058.0</v>
      </c>
      <c r="Z41" s="1" t="s">
        <v>66</v>
      </c>
      <c r="AA41" s="1" t="b">
        <v>1</v>
      </c>
      <c r="AB41" s="1">
        <v>888.0</v>
      </c>
      <c r="AC41" s="1" t="b">
        <v>1</v>
      </c>
      <c r="AD41" s="1">
        <v>159.0</v>
      </c>
      <c r="AE41" s="1">
        <v>33.0</v>
      </c>
      <c r="AF41" s="2">
        <v>46155.0</v>
      </c>
      <c r="AG41" s="1" t="s">
        <v>67</v>
      </c>
      <c r="AH41" s="1" t="s">
        <v>68</v>
      </c>
      <c r="AI41" s="1" t="s">
        <v>69</v>
      </c>
      <c r="AJ41" s="1" t="s">
        <v>70</v>
      </c>
      <c r="AK41" s="1">
        <v>32413.0</v>
      </c>
      <c r="AL41" s="1" t="s">
        <v>71</v>
      </c>
      <c r="AM41" s="1" t="s">
        <v>72</v>
      </c>
      <c r="AN41" s="3" t="s">
        <v>214</v>
      </c>
      <c r="AO41" s="3" t="s">
        <v>215</v>
      </c>
      <c r="AP41" s="1">
        <v>5.3938203E7</v>
      </c>
      <c r="AQ41" s="1">
        <v>2713421.0</v>
      </c>
      <c r="AR41" s="1">
        <v>30.292</v>
      </c>
      <c r="AS41" s="1">
        <v>-86.0526</v>
      </c>
      <c r="AT41" s="1">
        <v>54.21</v>
      </c>
      <c r="AU41" s="4">
        <f>AVERAGE($D$2:$D$1233)</f>
        <v>239740.3426</v>
      </c>
      <c r="AV41" s="1">
        <v>17.74</v>
      </c>
      <c r="AW41" s="4">
        <f>IFERROR(($AU1019-D1019)/$AU1019,0)</f>
        <v>0</v>
      </c>
      <c r="AX41" s="4">
        <f>$AU1019-D1019</f>
        <v>0</v>
      </c>
      <c r="AY41" s="1">
        <v>244628.0</v>
      </c>
      <c r="AZ41" s="1">
        <v>5.3938203E7</v>
      </c>
      <c r="BA41" s="1" t="s">
        <v>213</v>
      </c>
    </row>
    <row r="42">
      <c r="A42" s="1" t="s">
        <v>216</v>
      </c>
      <c r="B42" s="1">
        <v>1.98581941E8</v>
      </c>
      <c r="D42" s="1">
        <v>101748.0</v>
      </c>
      <c r="E42" s="1">
        <v>113947.0</v>
      </c>
      <c r="F42" s="1">
        <v>1695.8</v>
      </c>
      <c r="G42" s="1">
        <v>41.38</v>
      </c>
      <c r="H42" s="1">
        <v>342.0</v>
      </c>
      <c r="I42" s="1">
        <v>5.0</v>
      </c>
      <c r="J42" s="1">
        <v>6.0</v>
      </c>
      <c r="K42" s="1">
        <v>14.0</v>
      </c>
      <c r="L42" s="1" t="b">
        <v>1</v>
      </c>
      <c r="M42" s="1" t="b">
        <v>0</v>
      </c>
      <c r="N42" s="1" t="b">
        <v>0</v>
      </c>
      <c r="O42" s="1" t="b">
        <v>1</v>
      </c>
      <c r="P42" s="1" t="b">
        <v>1</v>
      </c>
      <c r="Q42" s="1" t="b">
        <v>0</v>
      </c>
      <c r="R42" s="1" t="b">
        <v>1</v>
      </c>
      <c r="S42" s="1" t="s">
        <v>63</v>
      </c>
      <c r="T42" s="1" t="s">
        <v>64</v>
      </c>
      <c r="U42" s="1" t="s">
        <v>65</v>
      </c>
      <c r="V42" s="1">
        <v>5.0</v>
      </c>
      <c r="W42" s="1">
        <v>25.0</v>
      </c>
      <c r="X42" s="1">
        <v>6.0</v>
      </c>
      <c r="Y42" s="5">
        <v>46058.0</v>
      </c>
      <c r="Z42" s="1" t="s">
        <v>66</v>
      </c>
      <c r="AA42" s="1" t="b">
        <v>0</v>
      </c>
      <c r="AB42" s="1">
        <v>794.0</v>
      </c>
      <c r="AC42" s="1" t="b">
        <v>1</v>
      </c>
      <c r="AD42" s="1">
        <v>60.0</v>
      </c>
      <c r="AE42" s="1">
        <v>11.0</v>
      </c>
      <c r="AF42" s="2">
        <v>46156.0</v>
      </c>
      <c r="AG42" s="1" t="s">
        <v>203</v>
      </c>
      <c r="AH42" s="1" t="s">
        <v>204</v>
      </c>
      <c r="AI42" s="1" t="s">
        <v>203</v>
      </c>
      <c r="AJ42" s="1" t="s">
        <v>70</v>
      </c>
      <c r="AK42" s="1">
        <v>34242.0</v>
      </c>
      <c r="AL42" s="1" t="s">
        <v>71</v>
      </c>
      <c r="AM42" s="1" t="s">
        <v>72</v>
      </c>
      <c r="AN42" s="3" t="s">
        <v>217</v>
      </c>
      <c r="AO42" s="3" t="s">
        <v>218</v>
      </c>
      <c r="AP42" s="1">
        <v>5.4389655E7</v>
      </c>
      <c r="AQ42" s="1">
        <v>2731806.0</v>
      </c>
      <c r="AR42" s="1">
        <v>27.3023</v>
      </c>
      <c r="AS42" s="1">
        <v>-82.5549</v>
      </c>
      <c r="AT42" s="1">
        <v>62.57</v>
      </c>
      <c r="AU42" s="4">
        <f>AVERAGE($D$2:$D$1012)</f>
        <v>239740.3426</v>
      </c>
      <c r="AV42" s="1">
        <v>-21.19</v>
      </c>
      <c r="AW42" s="4">
        <f>IFERROR(($AU213-D213)/$AU213,0)</f>
        <v>0</v>
      </c>
      <c r="AX42" s="4">
        <f>$AU213-D213</f>
        <v>0</v>
      </c>
      <c r="AY42" s="1">
        <v>12199.0</v>
      </c>
      <c r="AZ42" s="1">
        <v>5.4389655E7</v>
      </c>
      <c r="BA42" s="1" t="s">
        <v>216</v>
      </c>
    </row>
    <row r="43">
      <c r="A43" s="1" t="s">
        <v>219</v>
      </c>
      <c r="B43" s="1">
        <v>1.22658284E8</v>
      </c>
      <c r="D43" s="1">
        <v>128590.0</v>
      </c>
      <c r="E43" s="1">
        <v>168393.0</v>
      </c>
      <c r="F43" s="1">
        <v>1714.53</v>
      </c>
      <c r="G43" s="1">
        <v>44.64</v>
      </c>
      <c r="H43" s="1">
        <v>303.0</v>
      </c>
      <c r="I43" s="1">
        <v>8.0</v>
      </c>
      <c r="J43" s="1">
        <v>8.0</v>
      </c>
      <c r="K43" s="1">
        <v>16.0</v>
      </c>
      <c r="L43" s="1" t="b">
        <v>1</v>
      </c>
      <c r="M43" s="1" t="b">
        <v>0</v>
      </c>
      <c r="N43" s="1" t="b">
        <v>1</v>
      </c>
      <c r="O43" s="1" t="b">
        <v>1</v>
      </c>
      <c r="P43" s="1" t="b">
        <v>1</v>
      </c>
      <c r="Q43" s="1" t="b">
        <v>0</v>
      </c>
      <c r="R43" s="1" t="b">
        <v>1</v>
      </c>
      <c r="S43" s="1" t="s">
        <v>63</v>
      </c>
      <c r="T43" s="1" t="s">
        <v>64</v>
      </c>
      <c r="U43" s="1" t="s">
        <v>65</v>
      </c>
      <c r="V43" s="1">
        <v>4.8</v>
      </c>
      <c r="W43" s="1">
        <v>27.0</v>
      </c>
      <c r="X43" s="1">
        <v>4.0</v>
      </c>
      <c r="Y43" s="5">
        <v>46058.0</v>
      </c>
      <c r="Z43" s="1" t="s">
        <v>66</v>
      </c>
      <c r="AA43" s="1" t="b">
        <v>1</v>
      </c>
      <c r="AB43" s="1">
        <v>650.0</v>
      </c>
      <c r="AC43" s="1" t="b">
        <v>1</v>
      </c>
      <c r="AD43" s="1">
        <v>75.0</v>
      </c>
      <c r="AE43" s="1">
        <v>15.0</v>
      </c>
      <c r="AF43" s="2">
        <v>46155.0</v>
      </c>
      <c r="AG43" s="1" t="s">
        <v>67</v>
      </c>
      <c r="AH43" s="1" t="s">
        <v>76</v>
      </c>
      <c r="AI43" s="1" t="s">
        <v>76</v>
      </c>
      <c r="AJ43" s="1" t="s">
        <v>70</v>
      </c>
      <c r="AK43" s="1">
        <v>32550.0</v>
      </c>
      <c r="AL43" s="1" t="s">
        <v>71</v>
      </c>
      <c r="AM43" s="1" t="s">
        <v>72</v>
      </c>
      <c r="AN43" s="3" t="s">
        <v>220</v>
      </c>
      <c r="AO43" s="3" t="s">
        <v>221</v>
      </c>
      <c r="AP43" s="1" t="s">
        <v>222</v>
      </c>
      <c r="AQ43" s="1">
        <v>1907933.0</v>
      </c>
      <c r="AR43" s="1">
        <v>30.3786</v>
      </c>
      <c r="AS43" s="1">
        <v>-86.377</v>
      </c>
      <c r="AT43" s="1">
        <v>57.2</v>
      </c>
      <c r="AU43" s="4">
        <f>AVERAGE($D$2:$D$554)</f>
        <v>239740.3426</v>
      </c>
      <c r="AV43" s="1">
        <v>-12.56</v>
      </c>
      <c r="AW43" s="4">
        <f>IFERROR(($AU99-D99)/$AU99,0)</f>
        <v>0.2125146817</v>
      </c>
      <c r="AX43" s="4">
        <f>$AU99-D99</f>
        <v>50948.34259</v>
      </c>
      <c r="AY43" s="1">
        <v>39803.0</v>
      </c>
      <c r="AZ43" s="1" t="s">
        <v>222</v>
      </c>
      <c r="BA43" s="1" t="s">
        <v>219</v>
      </c>
    </row>
    <row r="44">
      <c r="A44" s="1" t="s">
        <v>223</v>
      </c>
      <c r="B44" s="1">
        <v>4.52269496E8</v>
      </c>
      <c r="D44" s="1">
        <v>227507.0</v>
      </c>
      <c r="E44" s="1">
        <v>245280.0</v>
      </c>
      <c r="F44" s="1">
        <v>1354.21</v>
      </c>
      <c r="G44" s="1">
        <v>54.72</v>
      </c>
      <c r="H44" s="1">
        <v>337.0</v>
      </c>
      <c r="I44" s="1">
        <v>5.0</v>
      </c>
      <c r="J44" s="1">
        <v>4.0</v>
      </c>
      <c r="K44" s="1">
        <v>15.0</v>
      </c>
      <c r="L44" s="1" t="b">
        <v>1</v>
      </c>
      <c r="M44" s="1" t="b">
        <v>0</v>
      </c>
      <c r="N44" s="1" t="b">
        <v>0</v>
      </c>
      <c r="O44" s="1" t="b">
        <v>1</v>
      </c>
      <c r="P44" s="1" t="b">
        <v>1</v>
      </c>
      <c r="Q44" s="1" t="b">
        <v>0</v>
      </c>
      <c r="R44" s="1" t="b">
        <v>0</v>
      </c>
      <c r="S44" s="1" t="s">
        <v>63</v>
      </c>
      <c r="T44" s="1" t="s">
        <v>64</v>
      </c>
      <c r="U44" s="1" t="s">
        <v>65</v>
      </c>
      <c r="V44" s="1">
        <v>5.0</v>
      </c>
      <c r="W44" s="1">
        <v>103.0</v>
      </c>
      <c r="X44" s="1">
        <v>3.0</v>
      </c>
      <c r="Y44" s="1">
        <v>1.0</v>
      </c>
      <c r="Z44" s="1" t="s">
        <v>66</v>
      </c>
      <c r="AA44" s="1" t="b">
        <v>1</v>
      </c>
      <c r="AB44" s="1">
        <v>395.0</v>
      </c>
      <c r="AC44" s="1" t="b">
        <v>0</v>
      </c>
      <c r="AD44" s="1">
        <v>168.0</v>
      </c>
      <c r="AE44" s="1">
        <v>38.0</v>
      </c>
      <c r="AF44" s="2">
        <v>46158.0</v>
      </c>
      <c r="AG44" s="1" t="s">
        <v>102</v>
      </c>
      <c r="AH44" s="1" t="s">
        <v>102</v>
      </c>
      <c r="AI44" s="1" t="s">
        <v>102</v>
      </c>
      <c r="AJ44" s="1" t="s">
        <v>104</v>
      </c>
      <c r="AK44" s="1">
        <v>77554.0</v>
      </c>
      <c r="AL44" s="1" t="s">
        <v>71</v>
      </c>
      <c r="AM44" s="1" t="s">
        <v>72</v>
      </c>
      <c r="AN44" s="3" t="s">
        <v>224</v>
      </c>
      <c r="AO44" s="3" t="s">
        <v>225</v>
      </c>
      <c r="AP44" s="1" t="s">
        <v>226</v>
      </c>
      <c r="AQ44" s="1">
        <v>3027722.0</v>
      </c>
      <c r="AR44" s="1">
        <v>29.22615</v>
      </c>
      <c r="AS44" s="1">
        <v>-94.89974</v>
      </c>
      <c r="AT44" s="1">
        <v>45.23</v>
      </c>
      <c r="AU44" s="4">
        <f>AVERAGE($D$2:$D$830)</f>
        <v>239740.3426</v>
      </c>
      <c r="AV44" s="1">
        <v>9.49</v>
      </c>
      <c r="AW44" s="4">
        <f>IFERROR(($AU14-D14)/$AU14,0)</f>
        <v>0.4410285789</v>
      </c>
      <c r="AX44" s="4">
        <f>$AU14-D14</f>
        <v>105732.3426</v>
      </c>
      <c r="AY44" s="1">
        <v>17773.0</v>
      </c>
      <c r="AZ44" s="1" t="s">
        <v>226</v>
      </c>
      <c r="BA44" s="1" t="s">
        <v>223</v>
      </c>
    </row>
    <row r="45">
      <c r="A45" s="1" t="s">
        <v>227</v>
      </c>
      <c r="B45" s="1">
        <v>1.32849345E8</v>
      </c>
      <c r="D45" s="1">
        <v>616692.0</v>
      </c>
      <c r="E45" s="1">
        <v>730765.0</v>
      </c>
      <c r="F45" s="1">
        <v>4138.87</v>
      </c>
      <c r="G45" s="1">
        <v>56.23</v>
      </c>
      <c r="H45" s="1">
        <v>311.0</v>
      </c>
      <c r="I45" s="1">
        <v>5.0</v>
      </c>
      <c r="J45" s="1">
        <v>3.0</v>
      </c>
      <c r="K45" s="1">
        <v>16.0</v>
      </c>
      <c r="L45" s="1" t="b">
        <v>1</v>
      </c>
      <c r="M45" s="1" t="b">
        <v>0</v>
      </c>
      <c r="N45" s="1" t="b">
        <v>1</v>
      </c>
      <c r="O45" s="1" t="b">
        <v>1</v>
      </c>
      <c r="P45" s="1" t="b">
        <v>1</v>
      </c>
      <c r="Q45" s="1" t="b">
        <v>1</v>
      </c>
      <c r="R45" s="1" t="b">
        <v>1</v>
      </c>
      <c r="S45" s="1" t="s">
        <v>63</v>
      </c>
      <c r="T45" s="1" t="s">
        <v>64</v>
      </c>
      <c r="U45" s="1" t="s">
        <v>65</v>
      </c>
      <c r="V45" s="1">
        <v>5.0</v>
      </c>
      <c r="W45" s="1">
        <v>12.0</v>
      </c>
      <c r="X45" s="1">
        <v>4.0</v>
      </c>
      <c r="Y45" s="5">
        <v>46193.0</v>
      </c>
      <c r="Z45" s="1" t="s">
        <v>66</v>
      </c>
      <c r="AA45" s="1" t="b">
        <v>1</v>
      </c>
      <c r="AB45" s="1">
        <v>350.0</v>
      </c>
      <c r="AC45" s="1" t="b">
        <v>1</v>
      </c>
      <c r="AD45" s="1">
        <v>149.0</v>
      </c>
      <c r="AE45" s="1">
        <v>47.0</v>
      </c>
      <c r="AF45" s="2">
        <v>46153.0</v>
      </c>
      <c r="AG45" s="1" t="s">
        <v>169</v>
      </c>
      <c r="AH45" s="1" t="s">
        <v>169</v>
      </c>
      <c r="AI45" s="1" t="s">
        <v>169</v>
      </c>
      <c r="AJ45" s="1" t="s">
        <v>70</v>
      </c>
      <c r="AK45" s="1">
        <v>33040.0</v>
      </c>
      <c r="AL45" s="1" t="s">
        <v>71</v>
      </c>
      <c r="AM45" s="1" t="s">
        <v>72</v>
      </c>
      <c r="AN45" s="3" t="s">
        <v>228</v>
      </c>
      <c r="AO45" s="3" t="s">
        <v>229</v>
      </c>
      <c r="AP45" s="1" t="s">
        <v>230</v>
      </c>
      <c r="AQ45" s="1">
        <v>2797946.0</v>
      </c>
      <c r="AR45" s="1">
        <v>24.5508</v>
      </c>
      <c r="AS45" s="1">
        <v>-81.7999</v>
      </c>
      <c r="AT45" s="1">
        <v>69.5</v>
      </c>
      <c r="AU45" s="4">
        <f>AVERAGE($D$2:$D$501)</f>
        <v>239740.3426</v>
      </c>
      <c r="AV45" s="1">
        <v>-13.27</v>
      </c>
      <c r="AW45" s="4">
        <f>IFERROR(($AU16-D16)/$AU16,0)</f>
        <v>0.4545932546</v>
      </c>
      <c r="AX45" s="4">
        <f>$AU16-D16</f>
        <v>108984.3426</v>
      </c>
      <c r="AY45" s="1">
        <v>114073.0</v>
      </c>
      <c r="AZ45" s="1" t="s">
        <v>230</v>
      </c>
      <c r="BA45" s="1" t="s">
        <v>227</v>
      </c>
    </row>
    <row r="46">
      <c r="A46" s="1" t="s">
        <v>231</v>
      </c>
      <c r="B46" s="1">
        <v>4.20657113E8</v>
      </c>
      <c r="D46" s="1">
        <v>216579.0</v>
      </c>
      <c r="E46" s="1">
        <v>229143.0</v>
      </c>
      <c r="F46" s="1">
        <v>1077.51</v>
      </c>
      <c r="G46" s="1">
        <v>57.93</v>
      </c>
      <c r="H46" s="1">
        <v>351.0</v>
      </c>
      <c r="I46" s="1">
        <v>5.0</v>
      </c>
      <c r="J46" s="1">
        <v>5.0</v>
      </c>
      <c r="K46" s="1">
        <v>15.0</v>
      </c>
      <c r="L46" s="1" t="b">
        <v>1</v>
      </c>
      <c r="M46" s="1" t="b">
        <v>0</v>
      </c>
      <c r="N46" s="1" t="b">
        <v>0</v>
      </c>
      <c r="O46" s="1" t="b">
        <v>1</v>
      </c>
      <c r="P46" s="1" t="b">
        <v>1</v>
      </c>
      <c r="Q46" s="1" t="b">
        <v>0</v>
      </c>
      <c r="R46" s="1" t="b">
        <v>0</v>
      </c>
      <c r="S46" s="1" t="s">
        <v>63</v>
      </c>
      <c r="T46" s="1" t="s">
        <v>64</v>
      </c>
      <c r="U46" s="1" t="s">
        <v>65</v>
      </c>
      <c r="V46" s="1">
        <v>4.95</v>
      </c>
      <c r="W46" s="1">
        <v>78.0</v>
      </c>
      <c r="X46" s="1">
        <v>2.0</v>
      </c>
      <c r="Y46" s="5">
        <v>46193.0</v>
      </c>
      <c r="Z46" s="1" t="s">
        <v>66</v>
      </c>
      <c r="AA46" s="1" t="b">
        <v>0</v>
      </c>
      <c r="AB46" s="1">
        <v>716.0</v>
      </c>
      <c r="AC46" s="1" t="b">
        <v>1</v>
      </c>
      <c r="AD46" s="1">
        <v>201.0</v>
      </c>
      <c r="AE46" s="1">
        <v>61.0</v>
      </c>
      <c r="AF46" s="2">
        <v>46153.0</v>
      </c>
      <c r="AG46" s="1" t="s">
        <v>102</v>
      </c>
      <c r="AH46" s="1" t="s">
        <v>102</v>
      </c>
      <c r="AI46" s="1" t="s">
        <v>102</v>
      </c>
      <c r="AJ46" s="1" t="s">
        <v>104</v>
      </c>
      <c r="AK46" s="1">
        <v>77554.0</v>
      </c>
      <c r="AL46" s="1" t="s">
        <v>71</v>
      </c>
      <c r="AM46" s="1" t="s">
        <v>72</v>
      </c>
      <c r="AN46" s="3" t="s">
        <v>232</v>
      </c>
      <c r="AO46" s="3" t="s">
        <v>233</v>
      </c>
      <c r="AP46" s="1" t="s">
        <v>234</v>
      </c>
      <c r="AQ46" s="1">
        <v>2736029.0</v>
      </c>
      <c r="AR46" s="1">
        <v>29.1157</v>
      </c>
      <c r="AS46" s="1">
        <v>-95.0779</v>
      </c>
      <c r="AT46" s="1">
        <v>45.23</v>
      </c>
      <c r="AU46" s="4">
        <f>AVERAGE($D$2:$D$830)</f>
        <v>239740.3426</v>
      </c>
      <c r="AV46" s="1">
        <v>12.7</v>
      </c>
      <c r="AW46" s="4">
        <f>IFERROR(($AU16-D16)/$AU16,0)</f>
        <v>0.4545932546</v>
      </c>
      <c r="AX46" s="4">
        <f>$AU16-D16</f>
        <v>108984.3426</v>
      </c>
      <c r="AY46" s="1">
        <v>12564.0</v>
      </c>
      <c r="AZ46" s="1" t="s">
        <v>234</v>
      </c>
      <c r="BA46" s="1" t="s">
        <v>231</v>
      </c>
    </row>
    <row r="47">
      <c r="A47" s="1" t="s">
        <v>235</v>
      </c>
      <c r="B47" s="1" t="s">
        <v>236</v>
      </c>
      <c r="D47" s="1">
        <v>266642.0</v>
      </c>
      <c r="E47" s="1">
        <v>442615.0</v>
      </c>
      <c r="F47" s="1">
        <v>3212.55</v>
      </c>
      <c r="G47" s="1">
        <v>44.39</v>
      </c>
      <c r="H47" s="1">
        <v>229.0</v>
      </c>
      <c r="I47" s="1">
        <v>6.0</v>
      </c>
      <c r="J47" s="1">
        <v>5.0</v>
      </c>
      <c r="K47" s="1">
        <v>10.0</v>
      </c>
      <c r="L47" s="1" t="b">
        <v>1</v>
      </c>
      <c r="M47" s="1" t="b">
        <v>0</v>
      </c>
      <c r="N47" s="1" t="b">
        <v>0</v>
      </c>
      <c r="O47" s="1" t="b">
        <v>1</v>
      </c>
      <c r="P47" s="1" t="b">
        <v>1</v>
      </c>
      <c r="Q47" s="1" t="b">
        <v>0</v>
      </c>
      <c r="R47" s="1" t="b">
        <v>1</v>
      </c>
      <c r="S47" s="1" t="s">
        <v>63</v>
      </c>
      <c r="T47" s="1" t="s">
        <v>64</v>
      </c>
      <c r="U47" s="1" t="s">
        <v>65</v>
      </c>
      <c r="V47" s="1">
        <v>5.0</v>
      </c>
      <c r="W47" s="1">
        <v>1.0</v>
      </c>
      <c r="X47" s="1">
        <v>7.0</v>
      </c>
      <c r="Y47" s="5">
        <v>46193.0</v>
      </c>
      <c r="Z47" s="1" t="s">
        <v>66</v>
      </c>
      <c r="AA47" s="1" t="b">
        <v>0</v>
      </c>
      <c r="AB47" s="1">
        <v>666.0</v>
      </c>
      <c r="AC47" s="1" t="b">
        <v>0</v>
      </c>
      <c r="AD47" s="1">
        <v>83.0</v>
      </c>
      <c r="AE47" s="1">
        <v>17.0</v>
      </c>
      <c r="AF47" s="2">
        <v>46156.0</v>
      </c>
      <c r="AG47" s="1" t="s">
        <v>169</v>
      </c>
      <c r="AH47" s="1" t="s">
        <v>237</v>
      </c>
      <c r="AI47" s="1" t="s">
        <v>237</v>
      </c>
      <c r="AJ47" s="1" t="s">
        <v>70</v>
      </c>
      <c r="AK47" s="1">
        <v>33036.0</v>
      </c>
      <c r="AL47" s="1" t="s">
        <v>71</v>
      </c>
      <c r="AM47" s="1" t="s">
        <v>72</v>
      </c>
      <c r="AN47" s="3" t="s">
        <v>238</v>
      </c>
      <c r="AO47" s="3" t="s">
        <v>239</v>
      </c>
      <c r="AP47" s="1" t="s">
        <v>240</v>
      </c>
      <c r="AQ47" s="1">
        <v>2867194.0</v>
      </c>
      <c r="AR47" s="1">
        <v>24.89302</v>
      </c>
      <c r="AS47" s="1">
        <v>-80.65708</v>
      </c>
      <c r="AT47" s="1">
        <v>34.63</v>
      </c>
      <c r="AU47" s="4">
        <f t="shared" ref="AU47:AU48" si="8">AVERAGE($D$2:$D$191)</f>
        <v>239740.3426</v>
      </c>
      <c r="AV47" s="1">
        <v>9.76</v>
      </c>
      <c r="AW47" s="4">
        <f>IFERROR(($AU11-D11)/$AU11,0)</f>
        <v>0.5106121951</v>
      </c>
      <c r="AX47" s="4">
        <f>$AU11-D11</f>
        <v>122414.3426</v>
      </c>
      <c r="AY47" s="1">
        <v>175973.0</v>
      </c>
      <c r="AZ47" s="1" t="s">
        <v>240</v>
      </c>
      <c r="BA47" s="1" t="s">
        <v>235</v>
      </c>
    </row>
    <row r="48">
      <c r="A48" s="1" t="s">
        <v>241</v>
      </c>
      <c r="B48" s="1">
        <v>2428723.0</v>
      </c>
      <c r="D48" s="1">
        <v>413624.0</v>
      </c>
      <c r="E48" s="1">
        <v>413624.0</v>
      </c>
      <c r="F48" s="1">
        <v>5825.69</v>
      </c>
      <c r="G48" s="1">
        <v>23.36</v>
      </c>
      <c r="H48" s="1">
        <v>365.0</v>
      </c>
      <c r="I48" s="1">
        <v>6.0</v>
      </c>
      <c r="J48" s="1">
        <v>6.0</v>
      </c>
      <c r="K48" s="1">
        <v>16.0</v>
      </c>
      <c r="L48" s="1" t="b">
        <v>1</v>
      </c>
      <c r="M48" s="1" t="b">
        <v>0</v>
      </c>
      <c r="N48" s="1" t="b">
        <v>0</v>
      </c>
      <c r="O48" s="1" t="b">
        <v>1</v>
      </c>
      <c r="P48" s="1" t="b">
        <v>1</v>
      </c>
      <c r="Q48" s="1" t="b">
        <v>1</v>
      </c>
      <c r="R48" s="1" t="b">
        <v>1</v>
      </c>
      <c r="S48" s="1" t="s">
        <v>63</v>
      </c>
      <c r="T48" s="1" t="s">
        <v>64</v>
      </c>
      <c r="U48" s="1" t="s">
        <v>65</v>
      </c>
      <c r="V48" s="1">
        <v>5.0</v>
      </c>
      <c r="W48" s="1">
        <v>5.0</v>
      </c>
      <c r="X48" s="1">
        <v>3.0</v>
      </c>
      <c r="Y48" s="5">
        <v>46193.0</v>
      </c>
      <c r="Z48" s="1" t="s">
        <v>66</v>
      </c>
      <c r="AA48" s="1" t="b">
        <v>0</v>
      </c>
      <c r="AB48" s="1">
        <v>999.0</v>
      </c>
      <c r="AC48" s="1" t="b">
        <v>1</v>
      </c>
      <c r="AD48" s="1">
        <v>71.0</v>
      </c>
      <c r="AE48" s="1">
        <v>20.0</v>
      </c>
      <c r="AF48" s="2">
        <v>46156.0</v>
      </c>
      <c r="AG48" s="1" t="s">
        <v>169</v>
      </c>
      <c r="AH48" s="1" t="s">
        <v>237</v>
      </c>
      <c r="AI48" s="1" t="s">
        <v>237</v>
      </c>
      <c r="AJ48" s="1" t="s">
        <v>70</v>
      </c>
      <c r="AK48" s="1">
        <v>33036.0</v>
      </c>
      <c r="AL48" s="1" t="s">
        <v>71</v>
      </c>
      <c r="AM48" s="1" t="s">
        <v>72</v>
      </c>
      <c r="AN48" s="3" t="s">
        <v>242</v>
      </c>
      <c r="AO48" s="3" t="s">
        <v>243</v>
      </c>
      <c r="AP48" s="1" t="s">
        <v>244</v>
      </c>
      <c r="AQ48" s="1">
        <v>2900265.0</v>
      </c>
      <c r="AR48" s="1">
        <v>24.87004</v>
      </c>
      <c r="AS48" s="1">
        <v>-80.70607</v>
      </c>
      <c r="AT48" s="1">
        <v>34.63</v>
      </c>
      <c r="AU48" s="4">
        <f t="shared" si="8"/>
        <v>239740.3426</v>
      </c>
      <c r="AV48" s="1">
        <v>-11.27</v>
      </c>
      <c r="AW48" s="4">
        <f>IFERROR(($AU3-D3)/$AU3,0)</f>
        <v>0.1071256607</v>
      </c>
      <c r="AX48" s="4">
        <f>$AU3-D3</f>
        <v>25682.34259</v>
      </c>
      <c r="AY48" s="1">
        <v>0.0</v>
      </c>
      <c r="AZ48" s="1" t="s">
        <v>244</v>
      </c>
      <c r="BA48" s="1" t="s">
        <v>241</v>
      </c>
    </row>
    <row r="49">
      <c r="A49" s="1" t="s">
        <v>245</v>
      </c>
      <c r="B49" s="1">
        <v>4.45500747E8</v>
      </c>
      <c r="D49" s="1">
        <v>190890.0</v>
      </c>
      <c r="E49" s="1">
        <v>220998.0</v>
      </c>
      <c r="F49" s="1">
        <v>1393.36</v>
      </c>
      <c r="G49" s="1">
        <v>44.77</v>
      </c>
      <c r="H49" s="1">
        <v>317.0</v>
      </c>
      <c r="I49" s="1">
        <v>5.0</v>
      </c>
      <c r="J49" s="1">
        <v>5.0</v>
      </c>
      <c r="K49" s="1">
        <v>16.0</v>
      </c>
      <c r="L49" s="1" t="b">
        <v>1</v>
      </c>
      <c r="M49" s="1" t="b">
        <v>0</v>
      </c>
      <c r="N49" s="1" t="b">
        <v>0</v>
      </c>
      <c r="O49" s="1" t="b">
        <v>1</v>
      </c>
      <c r="P49" s="1" t="b">
        <v>1</v>
      </c>
      <c r="Q49" s="1" t="b">
        <v>0</v>
      </c>
      <c r="R49" s="1" t="b">
        <v>1</v>
      </c>
      <c r="S49" s="1" t="s">
        <v>63</v>
      </c>
      <c r="T49" s="1" t="s">
        <v>64</v>
      </c>
      <c r="U49" s="1" t="s">
        <v>65</v>
      </c>
      <c r="V49" s="1">
        <v>5.0</v>
      </c>
      <c r="W49" s="1">
        <v>99.0</v>
      </c>
      <c r="X49" s="1">
        <v>3.0</v>
      </c>
      <c r="Y49" s="5">
        <v>46193.0</v>
      </c>
      <c r="Z49" s="1" t="s">
        <v>66</v>
      </c>
      <c r="AA49" s="1" t="b">
        <v>1</v>
      </c>
      <c r="AB49" s="1">
        <v>400.0</v>
      </c>
      <c r="AC49" s="1" t="b">
        <v>1</v>
      </c>
      <c r="AD49" s="1">
        <v>137.0</v>
      </c>
      <c r="AE49" s="1">
        <v>36.0</v>
      </c>
      <c r="AF49" s="2">
        <v>46158.0</v>
      </c>
      <c r="AG49" s="1" t="s">
        <v>102</v>
      </c>
      <c r="AH49" s="1" t="s">
        <v>102</v>
      </c>
      <c r="AI49" s="1" t="s">
        <v>102</v>
      </c>
      <c r="AJ49" s="1" t="s">
        <v>104</v>
      </c>
      <c r="AK49" s="1">
        <v>77554.0</v>
      </c>
      <c r="AL49" s="1" t="s">
        <v>71</v>
      </c>
      <c r="AM49" s="1" t="s">
        <v>72</v>
      </c>
      <c r="AN49" s="3" t="s">
        <v>246</v>
      </c>
      <c r="AO49" s="3" t="s">
        <v>247</v>
      </c>
      <c r="AP49" s="1" t="s">
        <v>248</v>
      </c>
      <c r="AQ49" s="1">
        <v>2909239.0</v>
      </c>
      <c r="AR49" s="1">
        <v>29.1065</v>
      </c>
      <c r="AS49" s="1">
        <v>-95.0916</v>
      </c>
      <c r="AT49" s="1">
        <v>45.23</v>
      </c>
      <c r="AU49" s="4">
        <f t="shared" ref="AU49:AU51" si="9">AVERAGE($D$2:$D$830)</f>
        <v>239740.3426</v>
      </c>
      <c r="AV49" s="1">
        <v>-0.46</v>
      </c>
      <c r="AW49" s="4">
        <f>IFERROR(($AU21-D21)/$AU21,0)</f>
        <v>0.378936401</v>
      </c>
      <c r="AX49" s="4">
        <f>$AU21-D21</f>
        <v>90846.34259</v>
      </c>
      <c r="AY49" s="1">
        <v>30108.0</v>
      </c>
      <c r="AZ49" s="1" t="s">
        <v>248</v>
      </c>
      <c r="BA49" s="1" t="s">
        <v>245</v>
      </c>
    </row>
    <row r="50">
      <c r="A50" s="1" t="s">
        <v>249</v>
      </c>
      <c r="B50" s="1">
        <v>4.5784614E8</v>
      </c>
      <c r="D50" s="1">
        <v>207908.0</v>
      </c>
      <c r="E50" s="1">
        <v>251747.0</v>
      </c>
      <c r="F50" s="1">
        <v>1307.6</v>
      </c>
      <c r="G50" s="1">
        <v>53.9</v>
      </c>
      <c r="H50" s="1">
        <v>297.0</v>
      </c>
      <c r="I50" s="1">
        <v>10.0</v>
      </c>
      <c r="J50" s="1">
        <v>10.0</v>
      </c>
      <c r="K50" s="1">
        <v>16.0</v>
      </c>
      <c r="L50" s="1" t="b">
        <v>1</v>
      </c>
      <c r="M50" s="1" t="b">
        <v>0</v>
      </c>
      <c r="N50" s="1" t="b">
        <v>1</v>
      </c>
      <c r="O50" s="1" t="b">
        <v>1</v>
      </c>
      <c r="P50" s="1" t="b">
        <v>1</v>
      </c>
      <c r="Q50" s="1" t="b">
        <v>1</v>
      </c>
      <c r="R50" s="1" t="b">
        <v>1</v>
      </c>
      <c r="S50" s="1" t="s">
        <v>63</v>
      </c>
      <c r="T50" s="1" t="s">
        <v>117</v>
      </c>
      <c r="U50" s="1" t="s">
        <v>65</v>
      </c>
      <c r="V50" s="1">
        <v>5.0</v>
      </c>
      <c r="W50" s="1">
        <v>167.0</v>
      </c>
      <c r="X50" s="1">
        <v>1.0</v>
      </c>
      <c r="Y50" s="5">
        <v>46193.0</v>
      </c>
      <c r="Z50" s="1" t="s">
        <v>66</v>
      </c>
      <c r="AA50" s="1" t="b">
        <v>1</v>
      </c>
      <c r="AB50" s="1">
        <v>497.0</v>
      </c>
      <c r="AC50" s="1" t="b">
        <v>0</v>
      </c>
      <c r="AD50" s="1">
        <v>159.0</v>
      </c>
      <c r="AE50" s="1">
        <v>54.0</v>
      </c>
      <c r="AF50" s="2">
        <v>46153.0</v>
      </c>
      <c r="AG50" s="1" t="s">
        <v>102</v>
      </c>
      <c r="AH50" s="1" t="s">
        <v>250</v>
      </c>
      <c r="AI50" s="1" t="s">
        <v>250</v>
      </c>
      <c r="AJ50" s="1" t="s">
        <v>104</v>
      </c>
      <c r="AK50" s="1">
        <v>77539.0</v>
      </c>
      <c r="AL50" s="1" t="s">
        <v>71</v>
      </c>
      <c r="AM50" s="1" t="s">
        <v>72</v>
      </c>
      <c r="AN50" s="3" t="s">
        <v>251</v>
      </c>
      <c r="AO50" s="3" t="s">
        <v>252</v>
      </c>
      <c r="AP50" s="1" t="s">
        <v>253</v>
      </c>
      <c r="AR50" s="1">
        <v>29.50237</v>
      </c>
      <c r="AS50" s="1">
        <v>-94.95848</v>
      </c>
      <c r="AT50" s="1">
        <v>47.56</v>
      </c>
      <c r="AU50" s="4">
        <f t="shared" si="9"/>
        <v>239740.3426</v>
      </c>
      <c r="AV50" s="1">
        <v>6.34</v>
      </c>
      <c r="AW50" s="4">
        <f>IFERROR(($AU19-D19)/$AU19,0)</f>
        <v>0.4487035491</v>
      </c>
      <c r="AX50" s="4">
        <f>$AU19-D19</f>
        <v>107572.3426</v>
      </c>
      <c r="AY50" s="1">
        <v>43839.0</v>
      </c>
      <c r="AZ50" s="1" t="s">
        <v>253</v>
      </c>
      <c r="BA50" s="1" t="s">
        <v>249</v>
      </c>
    </row>
    <row r="51">
      <c r="A51" s="1" t="s">
        <v>254</v>
      </c>
      <c r="B51" s="1">
        <v>1.99843457E8</v>
      </c>
      <c r="D51" s="1">
        <v>171617.0</v>
      </c>
      <c r="E51" s="1">
        <v>206655.0</v>
      </c>
      <c r="F51" s="1">
        <v>1418.32</v>
      </c>
      <c r="G51" s="1">
        <v>40.6</v>
      </c>
      <c r="H51" s="1">
        <v>302.0</v>
      </c>
      <c r="I51" s="1">
        <v>11.0</v>
      </c>
      <c r="J51" s="1">
        <v>7.0</v>
      </c>
      <c r="K51" s="1">
        <v>16.0</v>
      </c>
      <c r="L51" s="1" t="b">
        <v>1</v>
      </c>
      <c r="M51" s="1" t="b">
        <v>0</v>
      </c>
      <c r="N51" s="1" t="b">
        <v>1</v>
      </c>
      <c r="O51" s="1" t="b">
        <v>1</v>
      </c>
      <c r="P51" s="1" t="b">
        <v>1</v>
      </c>
      <c r="Q51" s="1" t="b">
        <v>1</v>
      </c>
      <c r="R51" s="1" t="b">
        <v>0</v>
      </c>
      <c r="S51" s="1" t="s">
        <v>63</v>
      </c>
      <c r="T51" s="1" t="s">
        <v>64</v>
      </c>
      <c r="U51" s="1" t="s">
        <v>65</v>
      </c>
      <c r="V51" s="1">
        <v>4.9</v>
      </c>
      <c r="W51" s="1">
        <v>13.0</v>
      </c>
      <c r="X51" s="1">
        <v>2.0</v>
      </c>
      <c r="Y51" s="5">
        <v>46058.0</v>
      </c>
      <c r="Z51" s="1" t="s">
        <v>66</v>
      </c>
      <c r="AA51" s="1" t="b">
        <v>1</v>
      </c>
      <c r="AB51" s="1">
        <v>822.0</v>
      </c>
      <c r="AC51" s="1" t="b">
        <v>1</v>
      </c>
      <c r="AD51" s="1">
        <v>121.0</v>
      </c>
      <c r="AE51" s="1">
        <v>33.0</v>
      </c>
      <c r="AF51" s="2">
        <v>46155.0</v>
      </c>
      <c r="AG51" s="1" t="s">
        <v>102</v>
      </c>
      <c r="AH51" s="1" t="s">
        <v>103</v>
      </c>
      <c r="AI51" s="1" t="s">
        <v>103</v>
      </c>
      <c r="AJ51" s="1" t="s">
        <v>104</v>
      </c>
      <c r="AK51" s="1">
        <v>77650.0</v>
      </c>
      <c r="AL51" s="1" t="s">
        <v>71</v>
      </c>
      <c r="AM51" s="1" t="s">
        <v>72</v>
      </c>
      <c r="AN51" s="3" t="s">
        <v>255</v>
      </c>
      <c r="AO51" s="3" t="s">
        <v>256</v>
      </c>
      <c r="AP51" s="1" t="s">
        <v>257</v>
      </c>
      <c r="AR51" s="1">
        <v>29.47271</v>
      </c>
      <c r="AS51" s="1">
        <v>-94.58985</v>
      </c>
      <c r="AT51" s="1">
        <v>47.56</v>
      </c>
      <c r="AU51" s="4">
        <f t="shared" si="9"/>
        <v>239740.3426</v>
      </c>
      <c r="AV51" s="1">
        <v>-6.96</v>
      </c>
      <c r="AW51" s="4">
        <f>IFERROR(($AU34-D34)/$AU34,0)</f>
        <v>-1.213586559</v>
      </c>
      <c r="AX51" s="4">
        <f>$AU34-D34</f>
        <v>-290945.6574</v>
      </c>
      <c r="AY51" s="1">
        <v>35038.0</v>
      </c>
      <c r="AZ51" s="1" t="s">
        <v>257</v>
      </c>
      <c r="BA51" s="1" t="s">
        <v>254</v>
      </c>
    </row>
    <row r="52">
      <c r="A52" s="1" t="s">
        <v>258</v>
      </c>
      <c r="B52" s="1">
        <v>3.56976356E8</v>
      </c>
      <c r="D52" s="1">
        <v>193332.0</v>
      </c>
      <c r="E52" s="1">
        <v>204362.0</v>
      </c>
      <c r="F52" s="1">
        <v>1546.66</v>
      </c>
      <c r="G52" s="1">
        <v>43.1</v>
      </c>
      <c r="H52" s="1">
        <v>336.0</v>
      </c>
      <c r="I52" s="1">
        <v>5.0</v>
      </c>
      <c r="J52" s="1">
        <v>7.0</v>
      </c>
      <c r="K52" s="1">
        <v>15.0</v>
      </c>
      <c r="L52" s="1" t="b">
        <v>1</v>
      </c>
      <c r="M52" s="1" t="b">
        <v>0</v>
      </c>
      <c r="N52" s="1" t="b">
        <v>1</v>
      </c>
      <c r="O52" s="1" t="b">
        <v>1</v>
      </c>
      <c r="P52" s="1" t="b">
        <v>1</v>
      </c>
      <c r="Q52" s="1" t="b">
        <v>0</v>
      </c>
      <c r="R52" s="1" t="b">
        <v>1</v>
      </c>
      <c r="S52" s="1" t="s">
        <v>63</v>
      </c>
      <c r="T52" s="1" t="s">
        <v>259</v>
      </c>
      <c r="U52" s="1" t="s">
        <v>65</v>
      </c>
      <c r="V52" s="1">
        <v>5.0</v>
      </c>
      <c r="W52" s="1">
        <v>54.0</v>
      </c>
      <c r="X52" s="1">
        <v>3.0</v>
      </c>
      <c r="Y52" s="5">
        <v>46058.0</v>
      </c>
      <c r="Z52" s="1" t="s">
        <v>66</v>
      </c>
      <c r="AA52" s="1" t="b">
        <v>0</v>
      </c>
      <c r="AB52" s="1">
        <v>599.0</v>
      </c>
      <c r="AC52" s="1" t="b">
        <v>0</v>
      </c>
      <c r="AD52" s="1">
        <v>125.0</v>
      </c>
      <c r="AE52" s="1">
        <v>26.0</v>
      </c>
      <c r="AF52" s="2">
        <v>46153.0</v>
      </c>
      <c r="AG52" s="1" t="s">
        <v>92</v>
      </c>
      <c r="AH52" s="1" t="s">
        <v>93</v>
      </c>
      <c r="AI52" s="1" t="s">
        <v>93</v>
      </c>
      <c r="AJ52" s="1" t="s">
        <v>95</v>
      </c>
      <c r="AK52" s="1">
        <v>31522.0</v>
      </c>
      <c r="AL52" s="1" t="s">
        <v>71</v>
      </c>
      <c r="AM52" s="1" t="s">
        <v>72</v>
      </c>
      <c r="AN52" s="3" t="s">
        <v>260</v>
      </c>
      <c r="AO52" s="3" t="s">
        <v>261</v>
      </c>
      <c r="AP52" s="1" t="s">
        <v>262</v>
      </c>
      <c r="AQ52" s="1">
        <v>2975241.0</v>
      </c>
      <c r="AR52" s="1">
        <v>31.1428</v>
      </c>
      <c r="AS52" s="1">
        <v>-81.3749</v>
      </c>
      <c r="AT52" s="1">
        <v>50.61</v>
      </c>
      <c r="AU52" s="4">
        <f>AVERAGE($D$2:$D$1001)</f>
        <v>239740.3426</v>
      </c>
      <c r="AV52" s="1">
        <v>-7.51</v>
      </c>
      <c r="AW52" s="4">
        <f>IFERROR(($AU521-D521)/$AU521,0)</f>
        <v>0</v>
      </c>
      <c r="AX52" s="4">
        <f>$AU521-D521</f>
        <v>0</v>
      </c>
      <c r="AY52" s="1">
        <v>11030.0</v>
      </c>
      <c r="AZ52" s="1" t="s">
        <v>262</v>
      </c>
      <c r="BA52" s="1" t="s">
        <v>258</v>
      </c>
    </row>
    <row r="53">
      <c r="A53" s="1" t="s">
        <v>263</v>
      </c>
      <c r="B53" s="1">
        <v>1835281.0</v>
      </c>
      <c r="D53" s="1">
        <v>131026.0</v>
      </c>
      <c r="E53" s="1">
        <v>252074.0</v>
      </c>
      <c r="F53" s="1">
        <v>1701.64</v>
      </c>
      <c r="G53" s="1">
        <v>100.0</v>
      </c>
      <c r="H53" s="1">
        <v>126.0</v>
      </c>
      <c r="I53" s="1">
        <v>6.0</v>
      </c>
      <c r="J53" s="1">
        <v>5.0</v>
      </c>
      <c r="K53" s="1">
        <v>16.0</v>
      </c>
      <c r="L53" s="1" t="b">
        <v>1</v>
      </c>
      <c r="M53" s="1" t="b">
        <v>0</v>
      </c>
      <c r="N53" s="1" t="b">
        <v>0</v>
      </c>
      <c r="O53" s="1" t="b">
        <v>1</v>
      </c>
      <c r="P53" s="1" t="b">
        <v>1</v>
      </c>
      <c r="Q53" s="1" t="b">
        <v>1</v>
      </c>
      <c r="R53" s="1" t="b">
        <v>1</v>
      </c>
      <c r="S53" s="1" t="s">
        <v>63</v>
      </c>
      <c r="T53" s="1" t="s">
        <v>117</v>
      </c>
      <c r="U53" s="1" t="s">
        <v>65</v>
      </c>
      <c r="V53" s="1">
        <v>5.0</v>
      </c>
      <c r="W53" s="1">
        <v>38.0</v>
      </c>
      <c r="X53" s="1">
        <v>7.0</v>
      </c>
      <c r="Y53" s="5">
        <v>46058.0</v>
      </c>
      <c r="Z53" s="1" t="s">
        <v>66</v>
      </c>
      <c r="AA53" s="1" t="b">
        <v>1</v>
      </c>
      <c r="AB53" s="1">
        <v>850.0</v>
      </c>
      <c r="AC53" s="1" t="b">
        <v>1</v>
      </c>
      <c r="AD53" s="1">
        <v>77.0</v>
      </c>
      <c r="AE53" s="1">
        <v>11.0</v>
      </c>
      <c r="AF53" s="2">
        <v>46153.0</v>
      </c>
      <c r="AG53" s="1" t="s">
        <v>264</v>
      </c>
      <c r="AH53" s="1" t="s">
        <v>265</v>
      </c>
      <c r="AI53" s="1" t="s">
        <v>266</v>
      </c>
      <c r="AJ53" s="1" t="s">
        <v>70</v>
      </c>
      <c r="AK53" s="1">
        <v>32328.0</v>
      </c>
      <c r="AL53" s="1" t="s">
        <v>71</v>
      </c>
      <c r="AM53" s="1" t="s">
        <v>72</v>
      </c>
      <c r="AN53" s="3" t="s">
        <v>267</v>
      </c>
      <c r="AO53" s="3" t="s">
        <v>268</v>
      </c>
      <c r="AP53" s="1" t="s">
        <v>269</v>
      </c>
      <c r="AQ53" s="1">
        <v>3019948.0</v>
      </c>
      <c r="AR53" s="1">
        <v>29.634</v>
      </c>
      <c r="AS53" s="1">
        <v>-84.9198</v>
      </c>
      <c r="AT53" s="1">
        <v>67.08</v>
      </c>
      <c r="AU53" s="4">
        <f>AVERAGE($D$2:$D$378)</f>
        <v>239740.3426</v>
      </c>
      <c r="AV53" s="1">
        <v>32.92</v>
      </c>
      <c r="AW53" s="4">
        <f>IFERROR(($AU26-D26)/$AU26,0)</f>
        <v>-0.420090571</v>
      </c>
      <c r="AX53" s="4">
        <f>$AU26-D26</f>
        <v>-100712.6574</v>
      </c>
      <c r="AY53" s="1">
        <v>121048.0</v>
      </c>
      <c r="AZ53" s="1" t="s">
        <v>269</v>
      </c>
      <c r="BA53" s="1" t="s">
        <v>263</v>
      </c>
    </row>
    <row r="54">
      <c r="A54" s="1" t="s">
        <v>270</v>
      </c>
      <c r="B54" s="1">
        <v>4.86677678E8</v>
      </c>
      <c r="D54" s="1">
        <v>118093.0</v>
      </c>
      <c r="E54" s="1">
        <v>143700.0</v>
      </c>
      <c r="F54" s="1">
        <v>1312.14</v>
      </c>
      <c r="G54" s="1">
        <v>41.47</v>
      </c>
      <c r="H54" s="1">
        <v>320.0</v>
      </c>
      <c r="I54" s="1">
        <v>5.0</v>
      </c>
      <c r="J54" s="1">
        <v>5.0</v>
      </c>
      <c r="K54" s="1">
        <v>16.0</v>
      </c>
      <c r="L54" s="1" t="b">
        <v>1</v>
      </c>
      <c r="M54" s="1" t="b">
        <v>0</v>
      </c>
      <c r="N54" s="1" t="b">
        <v>0</v>
      </c>
      <c r="O54" s="1" t="b">
        <v>1</v>
      </c>
      <c r="P54" s="1" t="b">
        <v>1</v>
      </c>
      <c r="Q54" s="1" t="b">
        <v>0</v>
      </c>
      <c r="R54" s="1" t="b">
        <v>1</v>
      </c>
      <c r="S54" s="1" t="s">
        <v>63</v>
      </c>
      <c r="T54" s="1" t="s">
        <v>64</v>
      </c>
      <c r="U54" s="1" t="s">
        <v>65</v>
      </c>
      <c r="V54" s="1">
        <v>5.0</v>
      </c>
      <c r="W54" s="1">
        <v>49.0</v>
      </c>
      <c r="X54" s="1">
        <v>3.0</v>
      </c>
      <c r="Y54" s="5">
        <v>46058.0</v>
      </c>
      <c r="Z54" s="1" t="s">
        <v>66</v>
      </c>
      <c r="AA54" s="1" t="b">
        <v>1</v>
      </c>
      <c r="AB54" s="1">
        <v>377.0</v>
      </c>
      <c r="AC54" s="1" t="b">
        <v>1</v>
      </c>
      <c r="AD54" s="1">
        <v>90.0</v>
      </c>
      <c r="AE54" s="1">
        <v>25.0</v>
      </c>
      <c r="AF54" s="2">
        <v>46153.0</v>
      </c>
      <c r="AG54" s="1" t="s">
        <v>102</v>
      </c>
      <c r="AH54" s="1" t="s">
        <v>102</v>
      </c>
      <c r="AI54" s="1" t="s">
        <v>102</v>
      </c>
      <c r="AJ54" s="1" t="s">
        <v>104</v>
      </c>
      <c r="AK54" s="1">
        <v>77554.0</v>
      </c>
      <c r="AL54" s="1" t="s">
        <v>71</v>
      </c>
      <c r="AM54" s="1" t="s">
        <v>72</v>
      </c>
      <c r="AN54" s="3" t="s">
        <v>271</v>
      </c>
      <c r="AO54" s="3" t="s">
        <v>272</v>
      </c>
      <c r="AP54" s="1" t="s">
        <v>273</v>
      </c>
      <c r="AQ54" s="1">
        <v>3106215.0</v>
      </c>
      <c r="AR54" s="1">
        <v>29.1067</v>
      </c>
      <c r="AS54" s="1">
        <v>-95.0919</v>
      </c>
      <c r="AT54" s="1">
        <v>45.23</v>
      </c>
      <c r="AU54" s="4">
        <f>AVERAGE($D$2:$D$830)</f>
        <v>239740.3426</v>
      </c>
      <c r="AV54" s="1">
        <v>-3.76</v>
      </c>
      <c r="AW54" s="4">
        <f>IFERROR(($AU84-D84)/$AU84,0)</f>
        <v>0.4279644447</v>
      </c>
      <c r="AX54" s="4">
        <f>$AU84-D84</f>
        <v>102600.3426</v>
      </c>
      <c r="AY54" s="1">
        <v>25607.0</v>
      </c>
      <c r="AZ54" s="1" t="s">
        <v>273</v>
      </c>
      <c r="BA54" s="1" t="s">
        <v>270</v>
      </c>
    </row>
    <row r="55">
      <c r="A55" s="1" t="s">
        <v>274</v>
      </c>
      <c r="B55" s="1">
        <v>1.77540752E8</v>
      </c>
      <c r="D55" s="1">
        <v>186480.0</v>
      </c>
      <c r="E55" s="1">
        <v>220123.0</v>
      </c>
      <c r="F55" s="1">
        <v>1983.83</v>
      </c>
      <c r="G55" s="1">
        <v>41.78</v>
      </c>
      <c r="H55" s="1">
        <v>327.0</v>
      </c>
      <c r="I55" s="1">
        <v>5.0</v>
      </c>
      <c r="J55" s="1">
        <v>5.0</v>
      </c>
      <c r="K55" s="1">
        <v>12.0</v>
      </c>
      <c r="L55" s="1" t="b">
        <v>1</v>
      </c>
      <c r="M55" s="1" t="b">
        <v>0</v>
      </c>
      <c r="N55" s="1" t="b">
        <v>0</v>
      </c>
      <c r="O55" s="1" t="b">
        <v>1</v>
      </c>
      <c r="P55" s="1" t="b">
        <v>1</v>
      </c>
      <c r="Q55" s="1" t="b">
        <v>0</v>
      </c>
      <c r="R55" s="1" t="b">
        <v>1</v>
      </c>
      <c r="S55" s="1" t="s">
        <v>63</v>
      </c>
      <c r="T55" s="1" t="s">
        <v>64</v>
      </c>
      <c r="U55" s="1" t="s">
        <v>65</v>
      </c>
      <c r="V55" s="1">
        <v>4.7</v>
      </c>
      <c r="W55" s="1">
        <v>96.0</v>
      </c>
      <c r="X55" s="1">
        <v>1.0</v>
      </c>
      <c r="Y55" s="5">
        <v>46058.0</v>
      </c>
      <c r="Z55" s="1" t="s">
        <v>66</v>
      </c>
      <c r="AA55" s="1" t="b">
        <v>0</v>
      </c>
      <c r="AB55" s="1">
        <v>596.0</v>
      </c>
      <c r="AC55" s="1" t="b">
        <v>1</v>
      </c>
      <c r="AD55" s="1">
        <v>94.0</v>
      </c>
      <c r="AE55" s="1">
        <v>19.0</v>
      </c>
      <c r="AF55" s="2">
        <v>46158.0</v>
      </c>
      <c r="AG55" s="1" t="s">
        <v>67</v>
      </c>
      <c r="AH55" s="1" t="s">
        <v>68</v>
      </c>
      <c r="AI55" s="1" t="s">
        <v>69</v>
      </c>
      <c r="AJ55" s="1" t="s">
        <v>70</v>
      </c>
      <c r="AK55" s="1">
        <v>32413.0</v>
      </c>
      <c r="AL55" s="1" t="s">
        <v>71</v>
      </c>
      <c r="AM55" s="1" t="s">
        <v>72</v>
      </c>
      <c r="AN55" s="3" t="s">
        <v>275</v>
      </c>
      <c r="AO55" s="3" t="s">
        <v>276</v>
      </c>
      <c r="AP55" s="1" t="s">
        <v>277</v>
      </c>
      <c r="AQ55" s="1">
        <v>249905.0</v>
      </c>
      <c r="AR55" s="1">
        <v>30.2815</v>
      </c>
      <c r="AS55" s="1">
        <v>-86.0128</v>
      </c>
      <c r="AT55" s="1">
        <v>61.91</v>
      </c>
      <c r="AU55" s="4">
        <f>AVERAGE($D$2:$D$1233)</f>
        <v>239740.3426</v>
      </c>
      <c r="AV55" s="1">
        <v>-20.13</v>
      </c>
      <c r="AW55" s="4">
        <f>IFERROR(($AU591-D591)/$AU591,0)</f>
        <v>0</v>
      </c>
      <c r="AX55" s="4">
        <f>$AU591-D591</f>
        <v>0</v>
      </c>
      <c r="AY55" s="1">
        <v>33643.0</v>
      </c>
      <c r="AZ55" s="1" t="s">
        <v>277</v>
      </c>
      <c r="BA55" s="1" t="s">
        <v>274</v>
      </c>
    </row>
    <row r="56">
      <c r="A56" s="1" t="s">
        <v>278</v>
      </c>
      <c r="B56" s="1">
        <v>4.97003474E8</v>
      </c>
      <c r="D56" s="1">
        <v>284505.0</v>
      </c>
      <c r="E56" s="1">
        <v>320662.0</v>
      </c>
      <c r="F56" s="1">
        <v>1571.85</v>
      </c>
      <c r="G56" s="1">
        <v>55.86</v>
      </c>
      <c r="H56" s="1">
        <v>324.0</v>
      </c>
      <c r="I56" s="1">
        <v>9.0</v>
      </c>
      <c r="J56" s="1">
        <v>7.0</v>
      </c>
      <c r="K56" s="1">
        <v>16.0</v>
      </c>
      <c r="L56" s="1" t="b">
        <v>1</v>
      </c>
      <c r="M56" s="1" t="b">
        <v>0</v>
      </c>
      <c r="N56" s="1" t="b">
        <v>0</v>
      </c>
      <c r="O56" s="1" t="b">
        <v>1</v>
      </c>
      <c r="P56" s="1" t="b">
        <v>1</v>
      </c>
      <c r="Q56" s="1" t="b">
        <v>1</v>
      </c>
      <c r="R56" s="1" t="b">
        <v>0</v>
      </c>
      <c r="S56" s="1" t="s">
        <v>63</v>
      </c>
      <c r="T56" s="1" t="s">
        <v>64</v>
      </c>
      <c r="U56" s="1" t="s">
        <v>65</v>
      </c>
      <c r="V56" s="1">
        <v>4.95</v>
      </c>
      <c r="W56" s="1">
        <v>110.0</v>
      </c>
      <c r="X56" s="1">
        <v>2.0</v>
      </c>
      <c r="Y56" s="5">
        <v>46193.0</v>
      </c>
      <c r="Z56" s="1" t="s">
        <v>66</v>
      </c>
      <c r="AA56" s="1" t="b">
        <v>1</v>
      </c>
      <c r="AB56" s="1">
        <v>300.0</v>
      </c>
      <c r="AC56" s="1" t="b">
        <v>0</v>
      </c>
      <c r="AD56" s="1">
        <v>181.0</v>
      </c>
      <c r="AE56" s="1">
        <v>36.0</v>
      </c>
      <c r="AF56" s="2">
        <v>46153.0</v>
      </c>
      <c r="AG56" s="1" t="s">
        <v>102</v>
      </c>
      <c r="AH56" s="1" t="s">
        <v>102</v>
      </c>
      <c r="AI56" s="1" t="s">
        <v>102</v>
      </c>
      <c r="AJ56" s="1" t="s">
        <v>104</v>
      </c>
      <c r="AK56" s="1">
        <v>77554.0</v>
      </c>
      <c r="AL56" s="1" t="s">
        <v>71</v>
      </c>
      <c r="AM56" s="1" t="s">
        <v>72</v>
      </c>
      <c r="AN56" s="3" t="s">
        <v>279</v>
      </c>
      <c r="AO56" s="3" t="s">
        <v>280</v>
      </c>
      <c r="AP56" s="1" t="s">
        <v>281</v>
      </c>
      <c r="AR56" s="1">
        <v>29.1699</v>
      </c>
      <c r="AS56" s="1">
        <v>-94.9925</v>
      </c>
      <c r="AT56" s="1">
        <v>47.56</v>
      </c>
      <c r="AU56" s="4">
        <f>AVERAGE($D$2:$D$830)</f>
        <v>239740.3426</v>
      </c>
      <c r="AV56" s="1">
        <v>8.3</v>
      </c>
      <c r="AW56" s="4">
        <f>IFERROR(($AU9-D9)/$AU9,0)</f>
        <v>0.5663808649</v>
      </c>
      <c r="AX56" s="4">
        <f>$AU9-D9</f>
        <v>135784.3426</v>
      </c>
      <c r="AY56" s="1">
        <v>36157.0</v>
      </c>
      <c r="AZ56" s="1" t="s">
        <v>281</v>
      </c>
      <c r="BA56" s="1" t="s">
        <v>278</v>
      </c>
    </row>
    <row r="57">
      <c r="A57" s="1" t="s">
        <v>282</v>
      </c>
      <c r="B57" s="1">
        <v>4.0485383E8</v>
      </c>
      <c r="D57" s="1">
        <v>135971.0</v>
      </c>
      <c r="E57" s="1">
        <v>250577.0</v>
      </c>
      <c r="F57" s="1">
        <v>2517.98</v>
      </c>
      <c r="G57" s="1">
        <v>50.47</v>
      </c>
      <c r="H57" s="1">
        <v>107.0</v>
      </c>
      <c r="I57" s="1">
        <v>6.0</v>
      </c>
      <c r="J57" s="1">
        <v>5.0</v>
      </c>
      <c r="K57" s="1">
        <v>16.0</v>
      </c>
      <c r="L57" s="1" t="b">
        <v>1</v>
      </c>
      <c r="M57" s="1" t="b">
        <v>0</v>
      </c>
      <c r="N57" s="1" t="b">
        <v>0</v>
      </c>
      <c r="O57" s="1" t="b">
        <v>1</v>
      </c>
      <c r="P57" s="1" t="b">
        <v>1</v>
      </c>
      <c r="Q57" s="1" t="b">
        <v>0</v>
      </c>
      <c r="R57" s="1" t="b">
        <v>1</v>
      </c>
      <c r="S57" s="1" t="s">
        <v>63</v>
      </c>
      <c r="T57" s="1" t="s">
        <v>64</v>
      </c>
      <c r="U57" s="1" t="s">
        <v>65</v>
      </c>
      <c r="V57" s="1">
        <v>5.0</v>
      </c>
      <c r="W57" s="1">
        <v>1.0</v>
      </c>
      <c r="X57" s="1">
        <v>3.0</v>
      </c>
      <c r="Y57" s="1">
        <v>1.0</v>
      </c>
      <c r="Z57" s="1" t="s">
        <v>66</v>
      </c>
      <c r="AA57" s="1" t="b">
        <v>0</v>
      </c>
      <c r="AB57" s="1">
        <v>850.0</v>
      </c>
      <c r="AC57" s="1" t="b">
        <v>0</v>
      </c>
      <c r="AD57" s="1">
        <v>54.0</v>
      </c>
      <c r="AE57" s="1">
        <v>9.0</v>
      </c>
      <c r="AF57" s="2">
        <v>45966.0</v>
      </c>
      <c r="AG57" s="1" t="s">
        <v>67</v>
      </c>
      <c r="AH57" s="1" t="s">
        <v>68</v>
      </c>
      <c r="AI57" s="1" t="s">
        <v>69</v>
      </c>
      <c r="AJ57" s="1" t="s">
        <v>70</v>
      </c>
      <c r="AK57" s="1">
        <v>32413.0</v>
      </c>
      <c r="AL57" s="1" t="s">
        <v>71</v>
      </c>
      <c r="AM57" s="1" t="s">
        <v>72</v>
      </c>
      <c r="AN57" s="3" t="s">
        <v>283</v>
      </c>
      <c r="AO57" s="3" t="s">
        <v>284</v>
      </c>
      <c r="AP57" s="1" t="s">
        <v>285</v>
      </c>
      <c r="AR57" s="1">
        <v>30.27693</v>
      </c>
      <c r="AS57" s="1">
        <v>-86.00904</v>
      </c>
      <c r="AT57" s="1">
        <v>54.76</v>
      </c>
      <c r="AU57" s="4">
        <f>AVERAGE($D$2:$D$1233)</f>
        <v>239740.3426</v>
      </c>
      <c r="AV57" s="1">
        <v>-4.29</v>
      </c>
      <c r="AW57" s="4">
        <f>IFERROR(($AU1123-D1123)/$AU1123,0)</f>
        <v>0</v>
      </c>
      <c r="AX57" s="4">
        <f>$AU1123-D1123</f>
        <v>0</v>
      </c>
      <c r="AY57" s="1">
        <v>114606.0</v>
      </c>
      <c r="AZ57" s="1" t="s">
        <v>285</v>
      </c>
      <c r="BA57" s="1" t="s">
        <v>282</v>
      </c>
    </row>
    <row r="58">
      <c r="A58" s="1" t="s">
        <v>286</v>
      </c>
      <c r="B58" s="1">
        <v>7.3907579E7</v>
      </c>
      <c r="D58" s="1">
        <v>172646.0</v>
      </c>
      <c r="E58" s="1">
        <v>199820.0</v>
      </c>
      <c r="F58" s="1">
        <v>1856.41</v>
      </c>
      <c r="G58" s="1">
        <v>49.21</v>
      </c>
      <c r="H58" s="1">
        <v>341.0</v>
      </c>
      <c r="I58" s="1">
        <v>6.0</v>
      </c>
      <c r="J58" s="1">
        <v>7.0</v>
      </c>
      <c r="K58" s="1">
        <v>16.0</v>
      </c>
      <c r="L58" s="1" t="b">
        <v>1</v>
      </c>
      <c r="M58" s="1" t="b">
        <v>0</v>
      </c>
      <c r="N58" s="1" t="b">
        <v>0</v>
      </c>
      <c r="O58" s="1" t="b">
        <v>1</v>
      </c>
      <c r="P58" s="1" t="b">
        <v>1</v>
      </c>
      <c r="Q58" s="1" t="b">
        <v>1</v>
      </c>
      <c r="R58" s="1" t="b">
        <v>1</v>
      </c>
      <c r="S58" s="1" t="s">
        <v>63</v>
      </c>
      <c r="T58" s="1" t="s">
        <v>117</v>
      </c>
      <c r="U58" s="1" t="s">
        <v>65</v>
      </c>
      <c r="V58" s="1">
        <v>4.8</v>
      </c>
      <c r="W58" s="1">
        <v>40.0</v>
      </c>
      <c r="X58" s="1">
        <v>3.0</v>
      </c>
      <c r="Y58" s="5">
        <v>46193.0</v>
      </c>
      <c r="Z58" s="1" t="s">
        <v>66</v>
      </c>
      <c r="AA58" s="1" t="b">
        <v>1</v>
      </c>
      <c r="AB58" s="1">
        <v>745.0</v>
      </c>
      <c r="AC58" s="1" t="b">
        <v>0</v>
      </c>
      <c r="AD58" s="1">
        <v>93.0</v>
      </c>
      <c r="AE58" s="1">
        <v>25.0</v>
      </c>
      <c r="AF58" s="2">
        <v>46158.0</v>
      </c>
      <c r="AG58" s="1" t="s">
        <v>67</v>
      </c>
      <c r="AH58" s="1" t="s">
        <v>76</v>
      </c>
      <c r="AI58" s="1" t="s">
        <v>76</v>
      </c>
      <c r="AJ58" s="1" t="s">
        <v>70</v>
      </c>
      <c r="AK58" s="1">
        <v>32550.0</v>
      </c>
      <c r="AL58" s="1" t="s">
        <v>71</v>
      </c>
      <c r="AM58" s="1" t="s">
        <v>72</v>
      </c>
      <c r="AN58" s="3" t="s">
        <v>287</v>
      </c>
      <c r="AO58" s="3" t="s">
        <v>288</v>
      </c>
      <c r="AP58" s="1" t="s">
        <v>289</v>
      </c>
      <c r="AQ58" s="1">
        <v>3291040.0</v>
      </c>
      <c r="AR58" s="1">
        <v>30.3802</v>
      </c>
      <c r="AS58" s="1">
        <v>-86.3773</v>
      </c>
      <c r="AT58" s="1">
        <v>58.77</v>
      </c>
      <c r="AU58" s="4">
        <f>AVERAGE($D$2:$D$554)</f>
        <v>239740.3426</v>
      </c>
      <c r="AV58" s="1">
        <v>-9.56</v>
      </c>
      <c r="AW58" s="4">
        <f>IFERROR(($AU66-D66)/$AU66,0)</f>
        <v>0.5653255565</v>
      </c>
      <c r="AX58" s="4">
        <f>$AU66-D66</f>
        <v>135531.3426</v>
      </c>
      <c r="AY58" s="1">
        <v>27174.0</v>
      </c>
      <c r="AZ58" s="1" t="s">
        <v>289</v>
      </c>
      <c r="BA58" s="1" t="s">
        <v>286</v>
      </c>
    </row>
    <row r="59">
      <c r="A59" s="1" t="s">
        <v>290</v>
      </c>
      <c r="B59" s="1">
        <v>2.2259364E7</v>
      </c>
      <c r="D59" s="1">
        <v>318435.0</v>
      </c>
      <c r="E59" s="1">
        <v>509245.0</v>
      </c>
      <c r="F59" s="1">
        <v>1759.31</v>
      </c>
      <c r="G59" s="1">
        <v>84.58</v>
      </c>
      <c r="H59" s="1">
        <v>214.0</v>
      </c>
      <c r="I59" s="1">
        <v>8.0</v>
      </c>
      <c r="J59" s="1">
        <v>5.0</v>
      </c>
      <c r="K59" s="1">
        <v>16.0</v>
      </c>
      <c r="L59" s="1" t="b">
        <v>1</v>
      </c>
      <c r="M59" s="1" t="b">
        <v>0</v>
      </c>
      <c r="N59" s="1" t="b">
        <v>0</v>
      </c>
      <c r="O59" s="1" t="b">
        <v>1</v>
      </c>
      <c r="P59" s="1" t="b">
        <v>1</v>
      </c>
      <c r="Q59" s="1" t="b">
        <v>0</v>
      </c>
      <c r="R59" s="1" t="b">
        <v>1</v>
      </c>
      <c r="S59" s="1" t="s">
        <v>63</v>
      </c>
      <c r="T59" s="1" t="s">
        <v>64</v>
      </c>
      <c r="U59" s="1" t="s">
        <v>65</v>
      </c>
      <c r="V59" s="1">
        <v>4.6</v>
      </c>
      <c r="W59" s="1">
        <v>5.0</v>
      </c>
      <c r="X59" s="1">
        <v>3.0</v>
      </c>
      <c r="Y59" s="5">
        <v>46193.0</v>
      </c>
      <c r="Z59" s="1" t="s">
        <v>66</v>
      </c>
      <c r="AA59" s="1" t="b">
        <v>0</v>
      </c>
      <c r="AB59" s="1">
        <v>572.0</v>
      </c>
      <c r="AC59" s="1" t="b">
        <v>1</v>
      </c>
      <c r="AD59" s="1">
        <v>181.0</v>
      </c>
      <c r="AE59" s="1">
        <v>50.0</v>
      </c>
      <c r="AF59" s="2">
        <v>46159.0</v>
      </c>
      <c r="AG59" s="1" t="s">
        <v>102</v>
      </c>
      <c r="AH59" s="1" t="s">
        <v>103</v>
      </c>
      <c r="AI59" s="1" t="s">
        <v>138</v>
      </c>
      <c r="AJ59" s="1" t="s">
        <v>104</v>
      </c>
      <c r="AK59" s="1">
        <v>77617.0</v>
      </c>
      <c r="AL59" s="1" t="s">
        <v>71</v>
      </c>
      <c r="AM59" s="1" t="s">
        <v>72</v>
      </c>
      <c r="AN59" s="3" t="s">
        <v>291</v>
      </c>
      <c r="AO59" s="3" t="s">
        <v>292</v>
      </c>
      <c r="AP59" s="1" t="s">
        <v>293</v>
      </c>
      <c r="AQ59" s="1">
        <v>3328279.0</v>
      </c>
      <c r="AR59" s="1">
        <v>29.5156</v>
      </c>
      <c r="AS59" s="1">
        <v>-94.4794</v>
      </c>
      <c r="AT59" s="1">
        <v>47.56</v>
      </c>
      <c r="AU59" s="4">
        <f>AVERAGE($D$2:$D$830)</f>
        <v>239740.3426</v>
      </c>
      <c r="AV59" s="1">
        <v>37.02</v>
      </c>
      <c r="AW59" s="4">
        <f>IFERROR(($AU6-D6)/$AU6,0)</f>
        <v>0.2017196692</v>
      </c>
      <c r="AX59" s="4">
        <f>$AU6-D6</f>
        <v>48360.34259</v>
      </c>
      <c r="AY59" s="1">
        <v>190810.0</v>
      </c>
      <c r="AZ59" s="1" t="s">
        <v>293</v>
      </c>
      <c r="BA59" s="1" t="s">
        <v>290</v>
      </c>
    </row>
    <row r="60">
      <c r="A60" s="1" t="s">
        <v>294</v>
      </c>
      <c r="B60" s="1">
        <v>4.58231293E8</v>
      </c>
      <c r="D60" s="1">
        <v>210437.0</v>
      </c>
      <c r="E60" s="1">
        <v>225482.0</v>
      </c>
      <c r="F60" s="1">
        <v>1402.91</v>
      </c>
      <c r="G60" s="1">
        <v>48.23</v>
      </c>
      <c r="H60" s="1">
        <v>329.0</v>
      </c>
      <c r="I60" s="1">
        <v>6.0</v>
      </c>
      <c r="J60" s="1">
        <v>5.0</v>
      </c>
      <c r="K60" s="1">
        <v>16.0</v>
      </c>
      <c r="L60" s="1" t="b">
        <v>1</v>
      </c>
      <c r="M60" s="1" t="b">
        <v>0</v>
      </c>
      <c r="N60" s="1" t="b">
        <v>0</v>
      </c>
      <c r="O60" s="1" t="b">
        <v>1</v>
      </c>
      <c r="P60" s="1" t="b">
        <v>0</v>
      </c>
      <c r="Q60" s="1" t="b">
        <v>0</v>
      </c>
      <c r="R60" s="1" t="b">
        <v>1</v>
      </c>
      <c r="S60" s="1" t="s">
        <v>63</v>
      </c>
      <c r="T60" s="1" t="s">
        <v>64</v>
      </c>
      <c r="U60" s="1" t="s">
        <v>65</v>
      </c>
      <c r="V60" s="1">
        <v>5.0</v>
      </c>
      <c r="W60" s="1">
        <v>5.0</v>
      </c>
      <c r="X60" s="1">
        <v>4.0</v>
      </c>
      <c r="Y60" s="5">
        <v>46058.0</v>
      </c>
      <c r="Z60" s="1" t="s">
        <v>66</v>
      </c>
      <c r="AA60" s="1" t="b">
        <v>1</v>
      </c>
      <c r="AB60" s="1">
        <v>750.0</v>
      </c>
      <c r="AC60" s="1" t="b">
        <v>1</v>
      </c>
      <c r="AD60" s="1">
        <v>150.0</v>
      </c>
      <c r="AE60" s="1">
        <v>30.0</v>
      </c>
      <c r="AF60" s="2">
        <v>46158.0</v>
      </c>
      <c r="AG60" s="1" t="s">
        <v>81</v>
      </c>
      <c r="AH60" s="1" t="s">
        <v>82</v>
      </c>
      <c r="AI60" s="1" t="s">
        <v>82</v>
      </c>
      <c r="AJ60" s="1" t="s">
        <v>70</v>
      </c>
      <c r="AK60" s="1">
        <v>33924.0</v>
      </c>
      <c r="AL60" s="1" t="s">
        <v>71</v>
      </c>
      <c r="AM60" s="1" t="s">
        <v>72</v>
      </c>
      <c r="AN60" s="3" t="s">
        <v>295</v>
      </c>
      <c r="AO60" s="3" t="s">
        <v>296</v>
      </c>
      <c r="AP60" s="1" t="s">
        <v>297</v>
      </c>
      <c r="AQ60" s="1">
        <v>3364172.0</v>
      </c>
      <c r="AR60" s="1">
        <v>26.5942</v>
      </c>
      <c r="AS60" s="1">
        <v>-82.2208</v>
      </c>
      <c r="AT60" s="1">
        <v>54.16</v>
      </c>
      <c r="AU60" s="4">
        <f>AVERAGE($D$2:$D$501)</f>
        <v>239740.3426</v>
      </c>
      <c r="AV60" s="1">
        <v>-5.93</v>
      </c>
      <c r="AW60" s="4">
        <f>IFERROR(($AU18-D18)/$AU18,0)</f>
        <v>0.1161395796</v>
      </c>
      <c r="AX60" s="4">
        <f>$AU18-D18</f>
        <v>27843.34259</v>
      </c>
      <c r="AY60" s="1">
        <v>15045.0</v>
      </c>
      <c r="AZ60" s="1" t="s">
        <v>297</v>
      </c>
      <c r="BA60" s="1" t="s">
        <v>294</v>
      </c>
    </row>
    <row r="61">
      <c r="A61" s="1" t="s">
        <v>298</v>
      </c>
      <c r="B61" s="1">
        <v>4.16843163E8</v>
      </c>
      <c r="D61" s="1">
        <v>290764.0</v>
      </c>
      <c r="E61" s="1">
        <v>384759.0</v>
      </c>
      <c r="F61" s="1">
        <v>1863.87</v>
      </c>
      <c r="G61" s="1">
        <v>65.0</v>
      </c>
      <c r="H61" s="1">
        <v>240.0</v>
      </c>
      <c r="I61" s="1">
        <v>6.0</v>
      </c>
      <c r="J61" s="1">
        <v>6.0</v>
      </c>
      <c r="K61" s="1">
        <v>16.0</v>
      </c>
      <c r="L61" s="1" t="b">
        <v>1</v>
      </c>
      <c r="M61" s="1" t="b">
        <v>0</v>
      </c>
      <c r="N61" s="1" t="b">
        <v>1</v>
      </c>
      <c r="O61" s="1" t="b">
        <v>1</v>
      </c>
      <c r="P61" s="1" t="b">
        <v>1</v>
      </c>
      <c r="Q61" s="1" t="b">
        <v>1</v>
      </c>
      <c r="R61" s="1" t="b">
        <v>1</v>
      </c>
      <c r="S61" s="1" t="s">
        <v>63</v>
      </c>
      <c r="T61" s="1" t="s">
        <v>64</v>
      </c>
      <c r="U61" s="1" t="s">
        <v>65</v>
      </c>
      <c r="V61" s="1">
        <v>5.0</v>
      </c>
      <c r="W61" s="1">
        <v>74.0</v>
      </c>
      <c r="X61" s="1">
        <v>4.0</v>
      </c>
      <c r="Y61" s="5">
        <v>46058.0</v>
      </c>
      <c r="Z61" s="1" t="s">
        <v>66</v>
      </c>
      <c r="AA61" s="1" t="b">
        <v>1</v>
      </c>
      <c r="AB61" s="1">
        <v>1029.0</v>
      </c>
      <c r="AC61" s="1" t="b">
        <v>0</v>
      </c>
      <c r="AD61" s="1">
        <v>156.0</v>
      </c>
      <c r="AE61" s="1">
        <v>27.0</v>
      </c>
      <c r="AF61" s="2">
        <v>46159.0</v>
      </c>
      <c r="AG61" s="1" t="s">
        <v>264</v>
      </c>
      <c r="AH61" s="1" t="s">
        <v>265</v>
      </c>
      <c r="AI61" s="1" t="s">
        <v>266</v>
      </c>
      <c r="AJ61" s="1" t="s">
        <v>70</v>
      </c>
      <c r="AK61" s="1">
        <v>32328.0</v>
      </c>
      <c r="AL61" s="1" t="s">
        <v>71</v>
      </c>
      <c r="AM61" s="1" t="s">
        <v>72</v>
      </c>
      <c r="AN61" s="3" t="s">
        <v>299</v>
      </c>
      <c r="AO61" s="3" t="s">
        <v>300</v>
      </c>
      <c r="AP61" s="1" t="s">
        <v>301</v>
      </c>
      <c r="AQ61" s="1">
        <v>3462556.0</v>
      </c>
      <c r="AR61" s="1">
        <v>29.62131</v>
      </c>
      <c r="AS61" s="1">
        <v>-84.94419</v>
      </c>
      <c r="AT61" s="1">
        <v>67.08</v>
      </c>
      <c r="AU61" s="4">
        <f>AVERAGE($D$2:$D$378)</f>
        <v>239740.3426</v>
      </c>
      <c r="AV61" s="1">
        <v>-2.08</v>
      </c>
      <c r="AW61" s="4">
        <f>IFERROR(($AU2-D2)/$AU2,0)</f>
        <v>0.3088147026</v>
      </c>
      <c r="AX61" s="4">
        <f>$AU2-D2</f>
        <v>74035.34259</v>
      </c>
      <c r="AY61" s="1">
        <v>93995.0</v>
      </c>
      <c r="AZ61" s="1" t="s">
        <v>301</v>
      </c>
      <c r="BA61" s="1" t="s">
        <v>298</v>
      </c>
    </row>
    <row r="62">
      <c r="A62" s="1" t="s">
        <v>302</v>
      </c>
      <c r="B62" s="1" t="s">
        <v>303</v>
      </c>
      <c r="D62" s="1">
        <v>237812.0</v>
      </c>
      <c r="E62" s="1">
        <v>288914.0</v>
      </c>
      <c r="F62" s="1">
        <v>2181.76</v>
      </c>
      <c r="G62" s="1">
        <v>51.66</v>
      </c>
      <c r="H62" s="1">
        <v>273.0</v>
      </c>
      <c r="I62" s="1">
        <v>7.0</v>
      </c>
      <c r="J62" s="1">
        <v>9.0</v>
      </c>
      <c r="K62" s="1">
        <v>16.0</v>
      </c>
      <c r="L62" s="1" t="b">
        <v>1</v>
      </c>
      <c r="M62" s="1" t="b">
        <v>0</v>
      </c>
      <c r="N62" s="1" t="b">
        <v>0</v>
      </c>
      <c r="O62" s="1" t="b">
        <v>1</v>
      </c>
      <c r="P62" s="1" t="b">
        <v>0</v>
      </c>
      <c r="Q62" s="1" t="b">
        <v>0</v>
      </c>
      <c r="R62" s="1" t="b">
        <v>1</v>
      </c>
      <c r="S62" s="1" t="s">
        <v>63</v>
      </c>
      <c r="T62" s="1" t="s">
        <v>64</v>
      </c>
      <c r="U62" s="1" t="s">
        <v>65</v>
      </c>
      <c r="V62" s="1">
        <v>5.0</v>
      </c>
      <c r="W62" s="1">
        <v>18.0</v>
      </c>
      <c r="X62" s="1">
        <v>1.0</v>
      </c>
      <c r="Y62" s="5">
        <v>46193.0</v>
      </c>
      <c r="Z62" s="1" t="s">
        <v>66</v>
      </c>
      <c r="AA62" s="1" t="b">
        <v>1</v>
      </c>
      <c r="AB62" s="1">
        <v>1351.0</v>
      </c>
      <c r="AC62" s="1" t="b">
        <v>1</v>
      </c>
      <c r="AD62" s="1">
        <v>109.0</v>
      </c>
      <c r="AE62" s="1">
        <v>19.0</v>
      </c>
      <c r="AF62" s="2">
        <v>46153.0</v>
      </c>
      <c r="AG62" s="1" t="s">
        <v>67</v>
      </c>
      <c r="AH62" s="1" t="s">
        <v>68</v>
      </c>
      <c r="AI62" s="1" t="s">
        <v>134</v>
      </c>
      <c r="AJ62" s="1" t="s">
        <v>70</v>
      </c>
      <c r="AK62" s="1">
        <v>32459.0</v>
      </c>
      <c r="AL62" s="1" t="s">
        <v>71</v>
      </c>
      <c r="AM62" s="1" t="s">
        <v>72</v>
      </c>
      <c r="AN62" s="3" t="s">
        <v>304</v>
      </c>
      <c r="AO62" s="3" t="s">
        <v>305</v>
      </c>
      <c r="AP62" s="1" t="s">
        <v>306</v>
      </c>
      <c r="AQ62" s="1">
        <v>3465543.0</v>
      </c>
      <c r="AR62" s="1">
        <v>30.3169</v>
      </c>
      <c r="AS62" s="1">
        <v>-86.1265</v>
      </c>
      <c r="AT62" s="1">
        <v>54.21</v>
      </c>
      <c r="AU62" s="4">
        <f>AVERAGE($D$2:$D$1233)</f>
        <v>239740.3426</v>
      </c>
      <c r="AV62" s="1">
        <v>-2.55</v>
      </c>
      <c r="AW62" s="4">
        <f>IFERROR(($AU1064-D1064)/$AU1064,0)</f>
        <v>0</v>
      </c>
      <c r="AX62" s="4">
        <f>$AU1064-D1064</f>
        <v>0</v>
      </c>
      <c r="AY62" s="1">
        <v>51102.0</v>
      </c>
      <c r="AZ62" s="1" t="s">
        <v>306</v>
      </c>
      <c r="BA62" s="1" t="s">
        <v>302</v>
      </c>
    </row>
    <row r="63">
      <c r="A63" s="1" t="s">
        <v>307</v>
      </c>
      <c r="B63" s="1">
        <v>1.8069144E8</v>
      </c>
      <c r="D63" s="1">
        <v>180895.0</v>
      </c>
      <c r="E63" s="1">
        <v>187759.0</v>
      </c>
      <c r="F63" s="1">
        <v>1282.94</v>
      </c>
      <c r="G63" s="1">
        <v>41.59</v>
      </c>
      <c r="H63" s="1">
        <v>349.0</v>
      </c>
      <c r="I63" s="1">
        <v>8.0</v>
      </c>
      <c r="J63" s="1">
        <v>6.0</v>
      </c>
      <c r="K63" s="1">
        <v>16.0</v>
      </c>
      <c r="L63" s="1" t="b">
        <v>1</v>
      </c>
      <c r="M63" s="1" t="b">
        <v>0</v>
      </c>
      <c r="N63" s="1" t="b">
        <v>0</v>
      </c>
      <c r="O63" s="1" t="b">
        <v>1</v>
      </c>
      <c r="P63" s="1" t="b">
        <v>1</v>
      </c>
      <c r="Q63" s="1" t="b">
        <v>1</v>
      </c>
      <c r="R63" s="1" t="b">
        <v>0</v>
      </c>
      <c r="S63" s="1" t="s">
        <v>63</v>
      </c>
      <c r="T63" s="1" t="s">
        <v>64</v>
      </c>
      <c r="U63" s="1" t="s">
        <v>65</v>
      </c>
      <c r="V63" s="1">
        <v>5.0</v>
      </c>
      <c r="W63" s="1">
        <v>77.0</v>
      </c>
      <c r="X63" s="1">
        <v>2.0</v>
      </c>
      <c r="Y63" s="5">
        <v>46058.0</v>
      </c>
      <c r="Z63" s="1" t="s">
        <v>66</v>
      </c>
      <c r="AA63" s="1" t="b">
        <v>1</v>
      </c>
      <c r="AB63" s="1">
        <v>500.0</v>
      </c>
      <c r="AC63" s="1" t="b">
        <v>0</v>
      </c>
      <c r="AD63" s="1">
        <v>141.0</v>
      </c>
      <c r="AE63" s="1">
        <v>46.0</v>
      </c>
      <c r="AF63" s="2">
        <v>46155.0</v>
      </c>
      <c r="AG63" s="1" t="s">
        <v>102</v>
      </c>
      <c r="AH63" s="1" t="s">
        <v>103</v>
      </c>
      <c r="AI63" s="1" t="s">
        <v>138</v>
      </c>
      <c r="AJ63" s="1" t="s">
        <v>104</v>
      </c>
      <c r="AK63" s="1">
        <v>77617.0</v>
      </c>
      <c r="AL63" s="1" t="s">
        <v>71</v>
      </c>
      <c r="AM63" s="1" t="s">
        <v>72</v>
      </c>
      <c r="AN63" s="3" t="s">
        <v>308</v>
      </c>
      <c r="AO63" s="3" t="s">
        <v>309</v>
      </c>
      <c r="AP63" s="1" t="s">
        <v>310</v>
      </c>
      <c r="AQ63" s="1">
        <v>3501492.0</v>
      </c>
      <c r="AR63" s="1">
        <v>29.5148</v>
      </c>
      <c r="AS63" s="1">
        <v>-94.4818</v>
      </c>
      <c r="AT63" s="1">
        <v>47.56</v>
      </c>
      <c r="AU63" s="4">
        <f>AVERAGE($D$2:$D$830)</f>
        <v>239740.3426</v>
      </c>
      <c r="AV63" s="1">
        <v>-5.97</v>
      </c>
      <c r="AW63" s="4">
        <f>IFERROR(($AU25-D25)/$AU25,0)</f>
        <v>0.3301753127</v>
      </c>
      <c r="AX63" s="4">
        <f>$AU25-D25</f>
        <v>79156.34259</v>
      </c>
      <c r="AY63" s="1">
        <v>6864.0</v>
      </c>
      <c r="AZ63" s="1" t="s">
        <v>310</v>
      </c>
      <c r="BA63" s="1" t="s">
        <v>307</v>
      </c>
    </row>
    <row r="64">
      <c r="A64" s="1" t="s">
        <v>311</v>
      </c>
      <c r="B64" s="1">
        <v>1.57601553E8</v>
      </c>
      <c r="D64" s="1">
        <v>255685.0</v>
      </c>
      <c r="E64" s="1">
        <v>283166.0</v>
      </c>
      <c r="F64" s="1">
        <v>1982.05</v>
      </c>
      <c r="G64" s="1">
        <v>41.88</v>
      </c>
      <c r="H64" s="1">
        <v>329.0</v>
      </c>
      <c r="I64" s="1">
        <v>9.0</v>
      </c>
      <c r="J64" s="1">
        <v>9.0</v>
      </c>
      <c r="K64" s="1">
        <v>16.0</v>
      </c>
      <c r="L64" s="1" t="b">
        <v>1</v>
      </c>
      <c r="M64" s="1" t="b">
        <v>1</v>
      </c>
      <c r="N64" s="1" t="b">
        <v>1</v>
      </c>
      <c r="O64" s="1" t="b">
        <v>1</v>
      </c>
      <c r="P64" s="1" t="b">
        <v>1</v>
      </c>
      <c r="Q64" s="1" t="b">
        <v>0</v>
      </c>
      <c r="R64" s="1" t="b">
        <v>1</v>
      </c>
      <c r="S64" s="1" t="s">
        <v>63</v>
      </c>
      <c r="T64" s="1" t="s">
        <v>64</v>
      </c>
      <c r="U64" s="1" t="s">
        <v>65</v>
      </c>
      <c r="V64" s="1">
        <v>4.95</v>
      </c>
      <c r="W64" s="1">
        <v>65.0</v>
      </c>
      <c r="X64" s="1">
        <v>2.0</v>
      </c>
      <c r="Y64" s="5">
        <v>46193.0</v>
      </c>
      <c r="Z64" s="1" t="s">
        <v>66</v>
      </c>
      <c r="AA64" s="1" t="b">
        <v>1</v>
      </c>
      <c r="AB64" s="1">
        <v>1350.0</v>
      </c>
      <c r="AC64" s="1" t="b">
        <v>1</v>
      </c>
      <c r="AD64" s="1">
        <v>129.0</v>
      </c>
      <c r="AE64" s="1">
        <v>31.0</v>
      </c>
      <c r="AF64" s="2">
        <v>46153.0</v>
      </c>
      <c r="AG64" s="1" t="s">
        <v>67</v>
      </c>
      <c r="AH64" s="1" t="s">
        <v>76</v>
      </c>
      <c r="AI64" s="1" t="s">
        <v>76</v>
      </c>
      <c r="AJ64" s="1" t="s">
        <v>70</v>
      </c>
      <c r="AK64" s="1">
        <v>32550.0</v>
      </c>
      <c r="AL64" s="1" t="s">
        <v>71</v>
      </c>
      <c r="AM64" s="1" t="s">
        <v>72</v>
      </c>
      <c r="AN64" s="3" t="s">
        <v>312</v>
      </c>
      <c r="AO64" s="3" t="s">
        <v>313</v>
      </c>
      <c r="AP64" s="1" t="s">
        <v>314</v>
      </c>
      <c r="AQ64" s="1">
        <v>4473724.0</v>
      </c>
      <c r="AR64" s="1">
        <v>30.38163</v>
      </c>
      <c r="AS64" s="1">
        <v>-86.38366</v>
      </c>
      <c r="AT64" s="1">
        <v>57.2</v>
      </c>
      <c r="AU64" s="4">
        <f t="shared" ref="AU64:AU65" si="10">AVERAGE($D$2:$D$554)</f>
        <v>239740.3426</v>
      </c>
      <c r="AV64" s="1">
        <v>-15.32</v>
      </c>
      <c r="AW64" s="4">
        <f>IFERROR(($AU29-D29)/$AU29,0)</f>
        <v>0.4220955952</v>
      </c>
      <c r="AX64" s="4">
        <f>$AU29-D29</f>
        <v>101193.3426</v>
      </c>
      <c r="AY64" s="1">
        <v>27481.0</v>
      </c>
      <c r="AZ64" s="1" t="s">
        <v>314</v>
      </c>
      <c r="BA64" s="1" t="s">
        <v>311</v>
      </c>
    </row>
    <row r="65">
      <c r="A65" s="1" t="s">
        <v>315</v>
      </c>
      <c r="B65" s="1">
        <v>5.27543014E8</v>
      </c>
      <c r="D65" s="1">
        <v>258114.0</v>
      </c>
      <c r="E65" s="1">
        <v>295265.0</v>
      </c>
      <c r="F65" s="1">
        <v>1732.31</v>
      </c>
      <c r="G65" s="1">
        <v>55.19</v>
      </c>
      <c r="H65" s="1">
        <v>308.0</v>
      </c>
      <c r="I65" s="1">
        <v>8.0</v>
      </c>
      <c r="J65" s="1">
        <v>8.0</v>
      </c>
      <c r="K65" s="1">
        <v>16.0</v>
      </c>
      <c r="L65" s="1" t="b">
        <v>1</v>
      </c>
      <c r="M65" s="1" t="b">
        <v>0</v>
      </c>
      <c r="N65" s="1" t="b">
        <v>1</v>
      </c>
      <c r="O65" s="1" t="b">
        <v>1</v>
      </c>
      <c r="P65" s="1" t="b">
        <v>1</v>
      </c>
      <c r="Q65" s="1" t="b">
        <v>0</v>
      </c>
      <c r="R65" s="1" t="b">
        <v>1</v>
      </c>
      <c r="S65" s="1" t="s">
        <v>63</v>
      </c>
      <c r="T65" s="1" t="s">
        <v>64</v>
      </c>
      <c r="U65" s="1" t="s">
        <v>65</v>
      </c>
      <c r="V65" s="1">
        <v>4.95</v>
      </c>
      <c r="W65" s="1">
        <v>18.0</v>
      </c>
      <c r="X65" s="1">
        <v>3.0</v>
      </c>
      <c r="Y65" s="5">
        <v>46193.0</v>
      </c>
      <c r="Z65" s="1" t="s">
        <v>66</v>
      </c>
      <c r="AA65" s="1" t="b">
        <v>1</v>
      </c>
      <c r="AB65" s="1">
        <v>1128.0</v>
      </c>
      <c r="AC65" s="1" t="b">
        <v>1</v>
      </c>
      <c r="AD65" s="1">
        <v>149.0</v>
      </c>
      <c r="AE65" s="1">
        <v>25.0</v>
      </c>
      <c r="AF65" s="2">
        <v>46153.0</v>
      </c>
      <c r="AG65" s="1" t="s">
        <v>67</v>
      </c>
      <c r="AH65" s="1" t="s">
        <v>76</v>
      </c>
      <c r="AI65" s="1" t="s">
        <v>76</v>
      </c>
      <c r="AJ65" s="1" t="s">
        <v>70</v>
      </c>
      <c r="AK65" s="1">
        <v>32550.0</v>
      </c>
      <c r="AL65" s="1" t="s">
        <v>71</v>
      </c>
      <c r="AM65" s="1" t="s">
        <v>72</v>
      </c>
      <c r="AN65" s="3" t="s">
        <v>316</v>
      </c>
      <c r="AO65" s="3" t="s">
        <v>317</v>
      </c>
      <c r="AP65" s="1" t="s">
        <v>318</v>
      </c>
      <c r="AQ65" s="1">
        <v>3532449.0</v>
      </c>
      <c r="AR65" s="1">
        <v>30.3735</v>
      </c>
      <c r="AS65" s="1">
        <v>-86.3489</v>
      </c>
      <c r="AT65" s="1">
        <v>57.2</v>
      </c>
      <c r="AU65" s="4">
        <f t="shared" si="10"/>
        <v>239740.3426</v>
      </c>
      <c r="AV65" s="1">
        <v>-2.01</v>
      </c>
      <c r="AW65" s="4">
        <f>IFERROR(($AU28-D28)/$AU28,0)</f>
        <v>-0.4327164467</v>
      </c>
      <c r="AX65" s="4">
        <f>$AU28-D28</f>
        <v>-110933.5476</v>
      </c>
      <c r="AY65" s="1">
        <v>37151.0</v>
      </c>
      <c r="AZ65" s="1" t="s">
        <v>318</v>
      </c>
      <c r="BA65" s="1" t="s">
        <v>315</v>
      </c>
    </row>
    <row r="66">
      <c r="A66" s="1" t="s">
        <v>319</v>
      </c>
      <c r="B66" s="1">
        <v>3.95268668E8</v>
      </c>
      <c r="D66" s="1">
        <v>104209.0</v>
      </c>
      <c r="E66" s="1">
        <v>126457.0</v>
      </c>
      <c r="F66" s="1">
        <v>1108.61</v>
      </c>
      <c r="G66" s="1">
        <v>36.29</v>
      </c>
      <c r="H66" s="1">
        <v>290.0</v>
      </c>
      <c r="I66" s="1">
        <v>7.0</v>
      </c>
      <c r="J66" s="1">
        <v>6.0</v>
      </c>
      <c r="K66" s="1">
        <v>16.0</v>
      </c>
      <c r="L66" s="1" t="b">
        <v>1</v>
      </c>
      <c r="M66" s="1" t="b">
        <v>0</v>
      </c>
      <c r="N66" s="1" t="b">
        <v>0</v>
      </c>
      <c r="O66" s="1" t="b">
        <v>1</v>
      </c>
      <c r="P66" s="1" t="b">
        <v>1</v>
      </c>
      <c r="Q66" s="1" t="b">
        <v>1</v>
      </c>
      <c r="R66" s="1" t="b">
        <v>1</v>
      </c>
      <c r="S66" s="1" t="s">
        <v>63</v>
      </c>
      <c r="T66" s="1" t="s">
        <v>64</v>
      </c>
      <c r="U66" s="1" t="s">
        <v>65</v>
      </c>
      <c r="V66" s="1">
        <v>5.0</v>
      </c>
      <c r="W66" s="1">
        <v>269.0</v>
      </c>
      <c r="X66" s="1">
        <v>3.0</v>
      </c>
      <c r="Y66" s="5">
        <v>46058.0</v>
      </c>
      <c r="Z66" s="1" t="s">
        <v>66</v>
      </c>
      <c r="AA66" s="1" t="b">
        <v>1</v>
      </c>
      <c r="AB66" s="1">
        <v>294.0</v>
      </c>
      <c r="AC66" s="1" t="b">
        <v>1</v>
      </c>
      <c r="AD66" s="1">
        <v>94.0</v>
      </c>
      <c r="AE66" s="1">
        <v>28.0</v>
      </c>
      <c r="AF66" s="2">
        <v>46156.0</v>
      </c>
      <c r="AG66" s="1" t="s">
        <v>102</v>
      </c>
      <c r="AH66" s="1" t="s">
        <v>320</v>
      </c>
      <c r="AI66" s="1" t="s">
        <v>320</v>
      </c>
      <c r="AJ66" s="1" t="s">
        <v>104</v>
      </c>
      <c r="AK66" s="1">
        <v>77565.0</v>
      </c>
      <c r="AL66" s="1" t="s">
        <v>71</v>
      </c>
      <c r="AM66" s="1" t="s">
        <v>72</v>
      </c>
      <c r="AN66" s="3" t="s">
        <v>321</v>
      </c>
      <c r="AO66" s="3" t="s">
        <v>322</v>
      </c>
      <c r="AP66" s="1" t="s">
        <v>323</v>
      </c>
      <c r="AQ66" s="1">
        <v>2739407.0</v>
      </c>
      <c r="AR66" s="1">
        <v>29.5360888345</v>
      </c>
      <c r="AS66" s="1">
        <v>-95.0140800235</v>
      </c>
      <c r="AT66" s="1">
        <v>47.56</v>
      </c>
      <c r="AU66" s="4">
        <f t="shared" ref="AU66:AU68" si="11">AVERAGE($D$2:$D$830)</f>
        <v>239740.3426</v>
      </c>
      <c r="AV66" s="1">
        <v>-11.27</v>
      </c>
      <c r="AW66" s="4">
        <f>IFERROR(($AU115-D115)/$AU115,0)</f>
        <v>0</v>
      </c>
      <c r="AX66" s="4">
        <f>$AU115-D115</f>
        <v>0</v>
      </c>
      <c r="AY66" s="1">
        <v>22248.0</v>
      </c>
      <c r="AZ66" s="1" t="s">
        <v>323</v>
      </c>
      <c r="BA66" s="1" t="s">
        <v>319</v>
      </c>
    </row>
    <row r="67">
      <c r="A67" s="1" t="s">
        <v>324</v>
      </c>
      <c r="B67" s="1">
        <v>4.55629056E8</v>
      </c>
      <c r="D67" s="1">
        <v>110820.0</v>
      </c>
      <c r="E67" s="1">
        <v>114247.0</v>
      </c>
      <c r="F67" s="1">
        <v>1319.29</v>
      </c>
      <c r="G67" s="1">
        <v>25.61</v>
      </c>
      <c r="H67" s="1">
        <v>354.0</v>
      </c>
      <c r="I67" s="1">
        <v>5.0</v>
      </c>
      <c r="J67" s="1">
        <v>6.0</v>
      </c>
      <c r="K67" s="1">
        <v>16.0</v>
      </c>
      <c r="L67" s="1" t="b">
        <v>1</v>
      </c>
      <c r="M67" s="1" t="b">
        <v>0</v>
      </c>
      <c r="N67" s="1" t="b">
        <v>0</v>
      </c>
      <c r="O67" s="1" t="b">
        <v>1</v>
      </c>
      <c r="P67" s="1" t="b">
        <v>1</v>
      </c>
      <c r="Q67" s="1" t="b">
        <v>0</v>
      </c>
      <c r="R67" s="1" t="b">
        <v>0</v>
      </c>
      <c r="S67" s="1" t="s">
        <v>63</v>
      </c>
      <c r="T67" s="1" t="s">
        <v>64</v>
      </c>
      <c r="U67" s="1" t="s">
        <v>65</v>
      </c>
      <c r="V67" s="1">
        <v>5.0</v>
      </c>
      <c r="W67" s="1">
        <v>18.0</v>
      </c>
      <c r="X67" s="1">
        <v>2.0</v>
      </c>
      <c r="Y67" s="5">
        <v>46058.0</v>
      </c>
      <c r="Z67" s="1" t="s">
        <v>66</v>
      </c>
      <c r="AA67" s="1" t="b">
        <v>0</v>
      </c>
      <c r="AB67" s="1">
        <v>375.0</v>
      </c>
      <c r="AC67" s="1" t="b">
        <v>1</v>
      </c>
      <c r="AD67" s="1">
        <v>84.0</v>
      </c>
      <c r="AE67" s="1">
        <v>28.0</v>
      </c>
      <c r="AF67" s="2">
        <v>46158.0</v>
      </c>
      <c r="AG67" s="1" t="s">
        <v>102</v>
      </c>
      <c r="AH67" s="1" t="s">
        <v>103</v>
      </c>
      <c r="AI67" s="1" t="s">
        <v>103</v>
      </c>
      <c r="AJ67" s="1" t="s">
        <v>104</v>
      </c>
      <c r="AK67" s="1">
        <v>77650.0</v>
      </c>
      <c r="AL67" s="1" t="s">
        <v>71</v>
      </c>
      <c r="AM67" s="1" t="s">
        <v>72</v>
      </c>
      <c r="AN67" s="3" t="s">
        <v>325</v>
      </c>
      <c r="AO67" s="3" t="s">
        <v>326</v>
      </c>
      <c r="AP67" s="1" t="s">
        <v>327</v>
      </c>
      <c r="AQ67" s="1">
        <v>3567984.0</v>
      </c>
      <c r="AR67" s="1">
        <v>29.46294</v>
      </c>
      <c r="AS67" s="1">
        <v>-94.61076</v>
      </c>
      <c r="AT67" s="1">
        <v>45.23</v>
      </c>
      <c r="AU67" s="4">
        <f t="shared" si="11"/>
        <v>239740.3426</v>
      </c>
      <c r="AV67" s="1">
        <v>-19.62</v>
      </c>
      <c r="AW67" s="4">
        <f>IFERROR(($AU98-D98)/$AU98,0)</f>
        <v>0.2855270075</v>
      </c>
      <c r="AX67" s="4">
        <f>$AU98-D98</f>
        <v>68452.34259</v>
      </c>
      <c r="AY67" s="1">
        <v>3427.0</v>
      </c>
      <c r="AZ67" s="1" t="s">
        <v>327</v>
      </c>
      <c r="BA67" s="1" t="s">
        <v>324</v>
      </c>
    </row>
    <row r="68">
      <c r="A68" s="1" t="s">
        <v>328</v>
      </c>
      <c r="B68" s="1">
        <v>4.987419E7</v>
      </c>
      <c r="D68" s="1">
        <v>109206.0</v>
      </c>
      <c r="E68" s="1">
        <v>129301.0</v>
      </c>
      <c r="F68" s="1">
        <v>1284.78</v>
      </c>
      <c r="G68" s="1">
        <v>35.27</v>
      </c>
      <c r="H68" s="1">
        <v>330.0</v>
      </c>
      <c r="I68" s="1">
        <v>5.0</v>
      </c>
      <c r="J68" s="1">
        <v>5.0</v>
      </c>
      <c r="K68" s="1">
        <v>15.0</v>
      </c>
      <c r="L68" s="1" t="b">
        <v>1</v>
      </c>
      <c r="M68" s="1" t="b">
        <v>0</v>
      </c>
      <c r="N68" s="1" t="b">
        <v>1</v>
      </c>
      <c r="O68" s="1" t="b">
        <v>1</v>
      </c>
      <c r="P68" s="1" t="b">
        <v>1</v>
      </c>
      <c r="Q68" s="1" t="b">
        <v>0</v>
      </c>
      <c r="R68" s="1" t="b">
        <v>0</v>
      </c>
      <c r="S68" s="1" t="s">
        <v>63</v>
      </c>
      <c r="T68" s="1" t="s">
        <v>329</v>
      </c>
      <c r="U68" s="1" t="s">
        <v>330</v>
      </c>
      <c r="V68" s="1">
        <v>5.0</v>
      </c>
      <c r="W68" s="1">
        <v>27.0</v>
      </c>
      <c r="X68" s="1">
        <v>2.0</v>
      </c>
      <c r="Y68" s="5">
        <v>46058.0</v>
      </c>
      <c r="Z68" s="1" t="s">
        <v>66</v>
      </c>
      <c r="AA68" s="1" t="b">
        <v>1</v>
      </c>
      <c r="AB68" s="1">
        <v>500.0</v>
      </c>
      <c r="AC68" s="1" t="b">
        <v>0</v>
      </c>
      <c r="AD68" s="1">
        <v>85.0</v>
      </c>
      <c r="AE68" s="1">
        <v>24.0</v>
      </c>
      <c r="AF68" s="2">
        <v>46155.0</v>
      </c>
      <c r="AG68" s="1" t="s">
        <v>102</v>
      </c>
      <c r="AH68" s="1" t="s">
        <v>102</v>
      </c>
      <c r="AI68" s="1" t="s">
        <v>102</v>
      </c>
      <c r="AJ68" s="1" t="s">
        <v>104</v>
      </c>
      <c r="AK68" s="1">
        <v>77550.0</v>
      </c>
      <c r="AL68" s="1" t="s">
        <v>71</v>
      </c>
      <c r="AM68" s="1" t="s">
        <v>72</v>
      </c>
      <c r="AN68" s="3" t="s">
        <v>331</v>
      </c>
      <c r="AO68" s="3" t="s">
        <v>332</v>
      </c>
      <c r="AP68" s="1" t="s">
        <v>333</v>
      </c>
      <c r="AQ68" s="1">
        <v>3189358.0</v>
      </c>
      <c r="AR68" s="1">
        <v>29.31</v>
      </c>
      <c r="AS68" s="1">
        <v>-94.7625</v>
      </c>
      <c r="AT68" s="1">
        <v>45.23</v>
      </c>
      <c r="AU68" s="4">
        <f t="shared" si="11"/>
        <v>239740.3426</v>
      </c>
      <c r="AV68" s="1">
        <v>-9.96</v>
      </c>
      <c r="AW68" s="4">
        <f>IFERROR(($AU101-D101)/$AU101,0)</f>
        <v>-0.8763842378</v>
      </c>
      <c r="AX68" s="4">
        <f>$AU101-D101</f>
        <v>-210104.6574</v>
      </c>
      <c r="AY68" s="1">
        <v>20095.0</v>
      </c>
      <c r="AZ68" s="1" t="s">
        <v>333</v>
      </c>
      <c r="BA68" s="1" t="s">
        <v>328</v>
      </c>
    </row>
    <row r="69">
      <c r="A69" s="1" t="s">
        <v>334</v>
      </c>
      <c r="B69" s="1">
        <v>5.21392359E8</v>
      </c>
      <c r="D69" s="1">
        <v>220341.0</v>
      </c>
      <c r="E69" s="1">
        <v>312833.0</v>
      </c>
      <c r="F69" s="1">
        <v>1899.49</v>
      </c>
      <c r="G69" s="1">
        <v>63.39</v>
      </c>
      <c r="H69" s="1">
        <v>236.0</v>
      </c>
      <c r="I69" s="1">
        <v>6.0</v>
      </c>
      <c r="J69" s="1">
        <v>7.0</v>
      </c>
      <c r="K69" s="1">
        <v>16.0</v>
      </c>
      <c r="L69" s="1" t="b">
        <v>1</v>
      </c>
      <c r="M69" s="1" t="b">
        <v>0</v>
      </c>
      <c r="N69" s="1" t="b">
        <v>1</v>
      </c>
      <c r="O69" s="1" t="b">
        <v>1</v>
      </c>
      <c r="P69" s="1" t="b">
        <v>1</v>
      </c>
      <c r="Q69" s="1" t="b">
        <v>0</v>
      </c>
      <c r="R69" s="1" t="b">
        <v>0</v>
      </c>
      <c r="S69" s="1" t="s">
        <v>63</v>
      </c>
      <c r="T69" s="1" t="s">
        <v>64</v>
      </c>
      <c r="U69" s="1" t="s">
        <v>65</v>
      </c>
      <c r="V69" s="1">
        <v>4.95</v>
      </c>
      <c r="W69" s="1">
        <v>87.0</v>
      </c>
      <c r="X69" s="1">
        <v>3.0</v>
      </c>
      <c r="Y69" s="5">
        <v>46193.0</v>
      </c>
      <c r="Z69" s="1" t="s">
        <v>66</v>
      </c>
      <c r="AA69" s="1" t="b">
        <v>1</v>
      </c>
      <c r="AB69" s="1">
        <v>838.0</v>
      </c>
      <c r="AC69" s="1" t="b">
        <v>1</v>
      </c>
      <c r="AD69" s="1">
        <v>116.0</v>
      </c>
      <c r="AE69" s="1">
        <v>22.0</v>
      </c>
      <c r="AF69" s="2">
        <v>46159.0</v>
      </c>
      <c r="AG69" s="1" t="s">
        <v>67</v>
      </c>
      <c r="AH69" s="1" t="s">
        <v>76</v>
      </c>
      <c r="AI69" s="1" t="s">
        <v>76</v>
      </c>
      <c r="AJ69" s="1" t="s">
        <v>70</v>
      </c>
      <c r="AK69" s="1">
        <v>32550.0</v>
      </c>
      <c r="AL69" s="1" t="s">
        <v>71</v>
      </c>
      <c r="AM69" s="1" t="s">
        <v>72</v>
      </c>
      <c r="AN69" s="3" t="s">
        <v>335</v>
      </c>
      <c r="AO69" s="3" t="s">
        <v>336</v>
      </c>
      <c r="AP69" s="1" t="s">
        <v>337</v>
      </c>
      <c r="AQ69" s="1">
        <v>3583862.0</v>
      </c>
      <c r="AR69" s="1">
        <v>30.3762</v>
      </c>
      <c r="AS69" s="1">
        <v>-86.373</v>
      </c>
      <c r="AT69" s="1">
        <v>58.77</v>
      </c>
      <c r="AU69" s="4">
        <f t="shared" ref="AU69:AU70" si="12">AVERAGE($D$2:$D$554)</f>
        <v>239740.3426</v>
      </c>
      <c r="AV69" s="1">
        <v>4.62</v>
      </c>
      <c r="AW69" s="4">
        <f>IFERROR(($AU38-D38)/$AU38,0)</f>
        <v>-1.847464021</v>
      </c>
      <c r="AX69" s="4">
        <f>$AU38-D38</f>
        <v>-442911.6574</v>
      </c>
      <c r="AY69" s="1">
        <v>92492.0</v>
      </c>
      <c r="AZ69" s="1" t="s">
        <v>337</v>
      </c>
      <c r="BA69" s="1" t="s">
        <v>334</v>
      </c>
    </row>
    <row r="70">
      <c r="A70" s="1" t="s">
        <v>338</v>
      </c>
      <c r="B70" s="1">
        <v>5.21392359E8</v>
      </c>
      <c r="D70" s="1">
        <v>314436.0</v>
      </c>
      <c r="E70" s="1">
        <v>413117.0</v>
      </c>
      <c r="F70" s="1">
        <v>2153.67</v>
      </c>
      <c r="G70" s="1">
        <v>76.84</v>
      </c>
      <c r="H70" s="1">
        <v>258.0</v>
      </c>
      <c r="I70" s="1">
        <v>7.0</v>
      </c>
      <c r="J70" s="1">
        <v>6.0</v>
      </c>
      <c r="K70" s="1">
        <v>16.0</v>
      </c>
      <c r="L70" s="1" t="b">
        <v>1</v>
      </c>
      <c r="M70" s="1" t="b">
        <v>0</v>
      </c>
      <c r="N70" s="1" t="b">
        <v>0</v>
      </c>
      <c r="O70" s="1" t="b">
        <v>1</v>
      </c>
      <c r="P70" s="1" t="b">
        <v>1</v>
      </c>
      <c r="Q70" s="1" t="b">
        <v>0</v>
      </c>
      <c r="R70" s="1" t="b">
        <v>1</v>
      </c>
      <c r="S70" s="1" t="s">
        <v>63</v>
      </c>
      <c r="T70" s="1" t="s">
        <v>64</v>
      </c>
      <c r="U70" s="1" t="s">
        <v>65</v>
      </c>
      <c r="V70" s="1">
        <v>5.0</v>
      </c>
      <c r="W70" s="1">
        <v>84.0</v>
      </c>
      <c r="X70" s="1">
        <v>3.0</v>
      </c>
      <c r="Y70" s="5">
        <v>46193.0</v>
      </c>
      <c r="Z70" s="1" t="s">
        <v>66</v>
      </c>
      <c r="AA70" s="1" t="b">
        <v>1</v>
      </c>
      <c r="AB70" s="1">
        <v>856.0</v>
      </c>
      <c r="AC70" s="1" t="b">
        <v>1</v>
      </c>
      <c r="AD70" s="1">
        <v>146.0</v>
      </c>
      <c r="AE70" s="1">
        <v>28.0</v>
      </c>
      <c r="AF70" s="2">
        <v>46153.0</v>
      </c>
      <c r="AG70" s="1" t="s">
        <v>67</v>
      </c>
      <c r="AH70" s="1" t="s">
        <v>76</v>
      </c>
      <c r="AI70" s="1" t="s">
        <v>76</v>
      </c>
      <c r="AJ70" s="1" t="s">
        <v>70</v>
      </c>
      <c r="AK70" s="1">
        <v>32550.0</v>
      </c>
      <c r="AL70" s="1" t="s">
        <v>71</v>
      </c>
      <c r="AM70" s="1" t="s">
        <v>72</v>
      </c>
      <c r="AN70" s="3" t="s">
        <v>339</v>
      </c>
      <c r="AO70" s="3" t="s">
        <v>340</v>
      </c>
      <c r="AP70" s="1" t="s">
        <v>341</v>
      </c>
      <c r="AQ70" s="1">
        <v>3583863.0</v>
      </c>
      <c r="AR70" s="1">
        <v>30.3771</v>
      </c>
      <c r="AS70" s="1">
        <v>-86.3787</v>
      </c>
      <c r="AT70" s="1">
        <v>57.2</v>
      </c>
      <c r="AU70" s="4">
        <f t="shared" si="12"/>
        <v>239740.3426</v>
      </c>
      <c r="AV70" s="1">
        <v>19.64</v>
      </c>
      <c r="AW70" s="4">
        <f>IFERROR(($AU15-D15)/$AU15,0)</f>
        <v>0.4959004451</v>
      </c>
      <c r="AX70" s="4">
        <f>$AU15-D15</f>
        <v>118887.3426</v>
      </c>
      <c r="AY70" s="1">
        <v>98681.0</v>
      </c>
      <c r="AZ70" s="1" t="s">
        <v>341</v>
      </c>
      <c r="BA70" s="1" t="s">
        <v>338</v>
      </c>
    </row>
    <row r="71">
      <c r="A71" s="1" t="s">
        <v>342</v>
      </c>
      <c r="B71" s="1">
        <v>3.0787533E7</v>
      </c>
      <c r="D71" s="1">
        <v>187037.0</v>
      </c>
      <c r="E71" s="1">
        <v>222357.0</v>
      </c>
      <c r="F71" s="1">
        <v>1612.39</v>
      </c>
      <c r="G71" s="1">
        <v>38.67</v>
      </c>
      <c r="H71" s="1">
        <v>314.0</v>
      </c>
      <c r="I71" s="1">
        <v>6.0</v>
      </c>
      <c r="J71" s="1">
        <v>6.0</v>
      </c>
      <c r="K71" s="1">
        <v>16.0</v>
      </c>
      <c r="L71" s="1" t="b">
        <v>1</v>
      </c>
      <c r="M71" s="1" t="b">
        <v>0</v>
      </c>
      <c r="N71" s="1" t="b">
        <v>1</v>
      </c>
      <c r="O71" s="1" t="b">
        <v>1</v>
      </c>
      <c r="P71" s="1" t="b">
        <v>1</v>
      </c>
      <c r="Q71" s="1" t="b">
        <v>1</v>
      </c>
      <c r="R71" s="1" t="b">
        <v>1</v>
      </c>
      <c r="S71" s="1" t="s">
        <v>63</v>
      </c>
      <c r="T71" s="1" t="s">
        <v>64</v>
      </c>
      <c r="U71" s="1" t="s">
        <v>65</v>
      </c>
      <c r="V71" s="1">
        <v>5.0</v>
      </c>
      <c r="W71" s="1">
        <v>75.0</v>
      </c>
      <c r="X71" s="1">
        <v>2.0</v>
      </c>
      <c r="Y71" s="5">
        <v>46058.0</v>
      </c>
      <c r="Z71" s="1" t="s">
        <v>66</v>
      </c>
      <c r="AA71" s="1" t="b">
        <v>1</v>
      </c>
      <c r="AB71" s="1">
        <v>525.0</v>
      </c>
      <c r="AC71" s="1" t="b">
        <v>1</v>
      </c>
      <c r="AD71" s="1">
        <v>116.0</v>
      </c>
      <c r="AE71" s="1">
        <v>38.0</v>
      </c>
      <c r="AF71" s="2">
        <v>46153.0</v>
      </c>
      <c r="AG71" s="1" t="s">
        <v>102</v>
      </c>
      <c r="AH71" s="1" t="s">
        <v>102</v>
      </c>
      <c r="AI71" s="1" t="s">
        <v>102</v>
      </c>
      <c r="AJ71" s="1" t="s">
        <v>104</v>
      </c>
      <c r="AK71" s="1">
        <v>77554.0</v>
      </c>
      <c r="AL71" s="1" t="s">
        <v>71</v>
      </c>
      <c r="AM71" s="1" t="s">
        <v>72</v>
      </c>
      <c r="AN71" s="3" t="s">
        <v>343</v>
      </c>
      <c r="AO71" s="3" t="s">
        <v>344</v>
      </c>
      <c r="AP71" s="1" t="s">
        <v>345</v>
      </c>
      <c r="AQ71" s="1">
        <v>3630416.0</v>
      </c>
      <c r="AR71" s="1">
        <v>29.106</v>
      </c>
      <c r="AS71" s="1">
        <v>-95.0958</v>
      </c>
      <c r="AT71" s="1">
        <v>38.4</v>
      </c>
      <c r="AU71" s="4">
        <f>AVERAGE($D$2:$D$830)</f>
        <v>239740.3426</v>
      </c>
      <c r="AV71" s="1">
        <v>0.27</v>
      </c>
      <c r="AW71" s="4">
        <f>IFERROR(($AU23-D23)/$AU23,0)</f>
        <v>0.3973062755</v>
      </c>
      <c r="AX71" s="4">
        <f>$AU23-D23</f>
        <v>95250.34259</v>
      </c>
      <c r="AY71" s="1">
        <v>35320.0</v>
      </c>
      <c r="AZ71" s="1" t="s">
        <v>345</v>
      </c>
      <c r="BA71" s="1" t="s">
        <v>342</v>
      </c>
    </row>
    <row r="72">
      <c r="A72" s="1" t="s">
        <v>346</v>
      </c>
      <c r="B72" s="1">
        <v>5594727.0</v>
      </c>
      <c r="D72" s="1">
        <v>545591.0</v>
      </c>
      <c r="E72" s="1">
        <v>613031.0</v>
      </c>
      <c r="F72" s="1">
        <v>2755.51</v>
      </c>
      <c r="G72" s="1">
        <v>63.87</v>
      </c>
      <c r="H72" s="1">
        <v>315.0</v>
      </c>
      <c r="I72" s="1">
        <v>7.0</v>
      </c>
      <c r="J72" s="1">
        <v>8.0</v>
      </c>
      <c r="K72" s="1">
        <v>16.0</v>
      </c>
      <c r="L72" s="1" t="b">
        <v>1</v>
      </c>
      <c r="M72" s="1" t="b">
        <v>0</v>
      </c>
      <c r="N72" s="1" t="b">
        <v>0</v>
      </c>
      <c r="O72" s="1" t="b">
        <v>1</v>
      </c>
      <c r="P72" s="1" t="b">
        <v>1</v>
      </c>
      <c r="Q72" s="1" t="b">
        <v>1</v>
      </c>
      <c r="R72" s="1" t="b">
        <v>1</v>
      </c>
      <c r="S72" s="1" t="s">
        <v>63</v>
      </c>
      <c r="T72" s="1" t="s">
        <v>64</v>
      </c>
      <c r="U72" s="1" t="s">
        <v>65</v>
      </c>
      <c r="V72" s="1">
        <v>5.0</v>
      </c>
      <c r="W72" s="1">
        <v>35.0</v>
      </c>
      <c r="X72" s="1">
        <v>2.0</v>
      </c>
      <c r="Y72" s="5">
        <v>46193.0</v>
      </c>
      <c r="Z72" s="1" t="s">
        <v>66</v>
      </c>
      <c r="AA72" s="1" t="b">
        <v>1</v>
      </c>
      <c r="AB72" s="1">
        <v>300.0</v>
      </c>
      <c r="AC72" s="1" t="b">
        <v>0</v>
      </c>
      <c r="AD72" s="1">
        <v>198.0</v>
      </c>
      <c r="AE72" s="1">
        <v>71.0</v>
      </c>
      <c r="AF72" s="2">
        <v>46153.0</v>
      </c>
      <c r="AG72" s="1" t="s">
        <v>169</v>
      </c>
      <c r="AH72" s="1" t="s">
        <v>169</v>
      </c>
      <c r="AI72" s="1" t="s">
        <v>169</v>
      </c>
      <c r="AJ72" s="1" t="s">
        <v>70</v>
      </c>
      <c r="AK72" s="1">
        <v>33040.0</v>
      </c>
      <c r="AL72" s="1" t="s">
        <v>71</v>
      </c>
      <c r="AM72" s="1" t="s">
        <v>72</v>
      </c>
      <c r="AN72" s="3" t="s">
        <v>347</v>
      </c>
      <c r="AO72" s="3" t="s">
        <v>348</v>
      </c>
      <c r="AP72" s="1" t="s">
        <v>349</v>
      </c>
      <c r="AQ72" s="1">
        <v>3721034.0</v>
      </c>
      <c r="AR72" s="1">
        <v>24.5606</v>
      </c>
      <c r="AS72" s="1">
        <v>-81.7974</v>
      </c>
      <c r="AT72" s="1">
        <v>73.06</v>
      </c>
      <c r="AU72" s="4">
        <f t="shared" ref="AU72:AU73" si="13">AVERAGE($D$2:$D$501)</f>
        <v>239740.3426</v>
      </c>
      <c r="AV72" s="1">
        <v>-9.19</v>
      </c>
      <c r="AW72" s="4">
        <f>IFERROR(($AU20-D20)/$AU20,0)</f>
        <v>-0.08854854038</v>
      </c>
      <c r="AX72" s="4">
        <f>$AU20-D20</f>
        <v>-21228.65741</v>
      </c>
      <c r="AY72" s="1">
        <v>67440.0</v>
      </c>
      <c r="AZ72" s="1" t="s">
        <v>349</v>
      </c>
      <c r="BA72" s="1" t="s">
        <v>346</v>
      </c>
    </row>
    <row r="73">
      <c r="A73" s="1" t="s">
        <v>350</v>
      </c>
      <c r="B73" s="1">
        <v>7.049866E7</v>
      </c>
      <c r="D73" s="1">
        <v>534816.0</v>
      </c>
      <c r="E73" s="1">
        <v>774044.0</v>
      </c>
      <c r="F73" s="1">
        <v>2499.14</v>
      </c>
      <c r="G73" s="1">
        <v>84.92</v>
      </c>
      <c r="H73" s="1">
        <v>252.0</v>
      </c>
      <c r="I73" s="1">
        <v>6.0</v>
      </c>
      <c r="J73" s="1">
        <v>4.0</v>
      </c>
      <c r="K73" s="1">
        <v>16.0</v>
      </c>
      <c r="L73" s="1" t="b">
        <v>1</v>
      </c>
      <c r="M73" s="1" t="b">
        <v>0</v>
      </c>
      <c r="N73" s="1" t="b">
        <v>0</v>
      </c>
      <c r="O73" s="1" t="b">
        <v>1</v>
      </c>
      <c r="P73" s="1" t="b">
        <v>1</v>
      </c>
      <c r="Q73" s="1" t="b">
        <v>0</v>
      </c>
      <c r="R73" s="1" t="b">
        <v>1</v>
      </c>
      <c r="S73" s="1" t="s">
        <v>63</v>
      </c>
      <c r="T73" s="1" t="s">
        <v>64</v>
      </c>
      <c r="U73" s="1" t="s">
        <v>65</v>
      </c>
      <c r="V73" s="1">
        <v>4.9</v>
      </c>
      <c r="W73" s="1">
        <v>303.0</v>
      </c>
      <c r="X73" s="1">
        <v>3.0</v>
      </c>
      <c r="Y73" s="5">
        <v>46193.0</v>
      </c>
      <c r="Z73" s="1" t="s">
        <v>66</v>
      </c>
      <c r="AA73" s="1" t="b">
        <v>1</v>
      </c>
      <c r="AB73" s="1">
        <v>500.0</v>
      </c>
      <c r="AC73" s="1" t="b">
        <v>1</v>
      </c>
      <c r="AD73" s="1">
        <v>214.0</v>
      </c>
      <c r="AE73" s="1">
        <v>63.0</v>
      </c>
      <c r="AF73" s="2">
        <v>46159.0</v>
      </c>
      <c r="AG73" s="1" t="s">
        <v>169</v>
      </c>
      <c r="AH73" s="1" t="s">
        <v>169</v>
      </c>
      <c r="AI73" s="1" t="s">
        <v>169</v>
      </c>
      <c r="AJ73" s="1" t="s">
        <v>70</v>
      </c>
      <c r="AK73" s="1">
        <v>33040.0</v>
      </c>
      <c r="AL73" s="1" t="s">
        <v>71</v>
      </c>
      <c r="AM73" s="1" t="s">
        <v>72</v>
      </c>
      <c r="AN73" s="3" t="s">
        <v>351</v>
      </c>
      <c r="AO73" s="3" t="s">
        <v>352</v>
      </c>
      <c r="AP73" s="1" t="s">
        <v>353</v>
      </c>
      <c r="AQ73" s="1">
        <v>3519858.0</v>
      </c>
      <c r="AR73" s="1">
        <v>24.5575</v>
      </c>
      <c r="AS73" s="1">
        <v>-81.8031</v>
      </c>
      <c r="AT73" s="1">
        <v>67.12</v>
      </c>
      <c r="AU73" s="4">
        <f t="shared" si="13"/>
        <v>239740.3426</v>
      </c>
      <c r="AV73" s="1">
        <v>17.8</v>
      </c>
      <c r="AW73" s="4">
        <f>IFERROR(($AU22-D22)/$AU22,0)</f>
        <v>0.1842090577</v>
      </c>
      <c r="AX73" s="4">
        <f>$AU22-D22</f>
        <v>44162.34259</v>
      </c>
      <c r="AY73" s="1">
        <v>239228.0</v>
      </c>
      <c r="AZ73" s="1" t="s">
        <v>353</v>
      </c>
      <c r="BA73" s="1" t="s">
        <v>350</v>
      </c>
    </row>
    <row r="74">
      <c r="A74" s="1" t="s">
        <v>354</v>
      </c>
      <c r="B74" s="1">
        <v>5.45826588E8</v>
      </c>
      <c r="D74" s="1">
        <v>524158.0</v>
      </c>
      <c r="E74" s="1">
        <v>705395.0</v>
      </c>
      <c r="F74" s="1">
        <v>2437.94</v>
      </c>
      <c r="G74" s="1">
        <v>83.01</v>
      </c>
      <c r="H74" s="1">
        <v>259.0</v>
      </c>
      <c r="I74" s="1">
        <v>7.0</v>
      </c>
      <c r="J74" s="1">
        <v>6.0</v>
      </c>
      <c r="K74" s="1">
        <v>16.0</v>
      </c>
      <c r="L74" s="1" t="b">
        <v>1</v>
      </c>
      <c r="M74" s="1" t="b">
        <v>0</v>
      </c>
      <c r="N74" s="1" t="b">
        <v>0</v>
      </c>
      <c r="O74" s="1" t="b">
        <v>1</v>
      </c>
      <c r="P74" s="1" t="b">
        <v>1</v>
      </c>
      <c r="Q74" s="1" t="b">
        <v>1</v>
      </c>
      <c r="R74" s="1" t="b">
        <v>1</v>
      </c>
      <c r="S74" s="1" t="s">
        <v>63</v>
      </c>
      <c r="T74" s="1" t="s">
        <v>64</v>
      </c>
      <c r="U74" s="1" t="s">
        <v>65</v>
      </c>
      <c r="V74" s="1">
        <v>4.95</v>
      </c>
      <c r="W74" s="1">
        <v>98.0</v>
      </c>
      <c r="X74" s="1">
        <v>1.0</v>
      </c>
      <c r="Y74" s="1">
        <v>1.0</v>
      </c>
      <c r="Z74" s="1" t="s">
        <v>66</v>
      </c>
      <c r="AA74" s="1" t="b">
        <v>1</v>
      </c>
      <c r="AB74" s="1">
        <v>2326.0</v>
      </c>
      <c r="AC74" s="1" t="b">
        <v>1</v>
      </c>
      <c r="AD74" s="1">
        <v>215.0</v>
      </c>
      <c r="AE74" s="1">
        <v>44.0</v>
      </c>
      <c r="AF74" s="2">
        <v>46159.0</v>
      </c>
      <c r="AG74" s="1" t="s">
        <v>67</v>
      </c>
      <c r="AH74" s="1" t="s">
        <v>76</v>
      </c>
      <c r="AI74" s="1" t="s">
        <v>76</v>
      </c>
      <c r="AJ74" s="1" t="s">
        <v>70</v>
      </c>
      <c r="AK74" s="1">
        <v>32550.0</v>
      </c>
      <c r="AL74" s="1" t="s">
        <v>71</v>
      </c>
      <c r="AM74" s="1" t="s">
        <v>72</v>
      </c>
      <c r="AN74" s="3" t="s">
        <v>355</v>
      </c>
      <c r="AO74" s="3" t="s">
        <v>356</v>
      </c>
      <c r="AP74" s="1" t="s">
        <v>357</v>
      </c>
      <c r="AQ74" s="1">
        <v>3798019.0</v>
      </c>
      <c r="AR74" s="1">
        <v>30.3734</v>
      </c>
      <c r="AS74" s="1">
        <v>-86.3491</v>
      </c>
      <c r="AT74" s="1">
        <v>57.2</v>
      </c>
      <c r="AU74" s="4">
        <f>AVERAGE($D$2:$D$554)</f>
        <v>239740.3426</v>
      </c>
      <c r="AV74" s="1">
        <v>25.81</v>
      </c>
      <c r="AW74" s="4">
        <f>IFERROR(($AU8-D8)/$AU8,0)</f>
        <v>-0.121050371</v>
      </c>
      <c r="AX74" s="4">
        <f>$AU8-D8</f>
        <v>-29020.65741</v>
      </c>
      <c r="AY74" s="1">
        <v>181237.0</v>
      </c>
      <c r="AZ74" s="1" t="s">
        <v>357</v>
      </c>
      <c r="BA74" s="1" t="s">
        <v>354</v>
      </c>
    </row>
    <row r="75">
      <c r="A75" s="1" t="s">
        <v>358</v>
      </c>
      <c r="B75" s="1">
        <v>7.3083297E7</v>
      </c>
      <c r="D75" s="1">
        <v>243078.0</v>
      </c>
      <c r="E75" s="1">
        <v>292520.0</v>
      </c>
      <c r="F75" s="1">
        <v>2008.91</v>
      </c>
      <c r="G75" s="1">
        <v>51.71</v>
      </c>
      <c r="H75" s="1">
        <v>267.0</v>
      </c>
      <c r="I75" s="1">
        <v>6.0</v>
      </c>
      <c r="J75" s="1">
        <v>5.0</v>
      </c>
      <c r="K75" s="1">
        <v>15.0</v>
      </c>
      <c r="L75" s="1" t="b">
        <v>1</v>
      </c>
      <c r="M75" s="1" t="b">
        <v>0</v>
      </c>
      <c r="N75" s="1" t="b">
        <v>1</v>
      </c>
      <c r="O75" s="1" t="b">
        <v>1</v>
      </c>
      <c r="P75" s="1" t="b">
        <v>1</v>
      </c>
      <c r="Q75" s="1" t="b">
        <v>0</v>
      </c>
      <c r="R75" s="1" t="b">
        <v>1</v>
      </c>
      <c r="S75" s="1" t="s">
        <v>63</v>
      </c>
      <c r="T75" s="1" t="s">
        <v>64</v>
      </c>
      <c r="U75" s="1" t="s">
        <v>65</v>
      </c>
      <c r="V75" s="1">
        <v>4.95</v>
      </c>
      <c r="W75" s="1">
        <v>22.0</v>
      </c>
      <c r="X75" s="1">
        <v>5.0</v>
      </c>
      <c r="Y75" s="5">
        <v>46058.0</v>
      </c>
      <c r="Z75" s="1" t="s">
        <v>66</v>
      </c>
      <c r="AA75" s="1" t="b">
        <v>1</v>
      </c>
      <c r="AB75" s="1">
        <v>848.0</v>
      </c>
      <c r="AC75" s="1" t="b">
        <v>0</v>
      </c>
      <c r="AD75" s="1">
        <v>121.0</v>
      </c>
      <c r="AE75" s="1">
        <v>19.0</v>
      </c>
      <c r="AF75" s="2">
        <v>46155.0</v>
      </c>
      <c r="AG75" s="1" t="s">
        <v>81</v>
      </c>
      <c r="AH75" s="1" t="s">
        <v>82</v>
      </c>
      <c r="AI75" s="1" t="s">
        <v>82</v>
      </c>
      <c r="AJ75" s="1" t="s">
        <v>70</v>
      </c>
      <c r="AK75" s="1">
        <v>33924.0</v>
      </c>
      <c r="AL75" s="1" t="s">
        <v>71</v>
      </c>
      <c r="AM75" s="1" t="s">
        <v>72</v>
      </c>
      <c r="AN75" s="3" t="s">
        <v>359</v>
      </c>
      <c r="AO75" s="3" t="s">
        <v>360</v>
      </c>
      <c r="AP75" s="1" t="s">
        <v>361</v>
      </c>
      <c r="AQ75" s="1">
        <v>3818167.0</v>
      </c>
      <c r="AR75" s="1">
        <v>26.5197</v>
      </c>
      <c r="AS75" s="1">
        <v>-82.1895</v>
      </c>
      <c r="AT75" s="1">
        <v>54.16</v>
      </c>
      <c r="AU75" s="4">
        <f>AVERAGE($D$2:$D$501)</f>
        <v>239740.3426</v>
      </c>
      <c r="AV75" s="1">
        <v>-2.45</v>
      </c>
      <c r="AW75" s="4">
        <f>IFERROR(($AU11-D11)/$AU11,0)</f>
        <v>0.5106121951</v>
      </c>
      <c r="AX75" s="4">
        <f>$AU11-D11</f>
        <v>122414.3426</v>
      </c>
      <c r="AY75" s="1">
        <v>49442.0</v>
      </c>
      <c r="AZ75" s="1" t="s">
        <v>361</v>
      </c>
      <c r="BA75" s="1" t="s">
        <v>358</v>
      </c>
    </row>
    <row r="76">
      <c r="A76" s="1" t="s">
        <v>362</v>
      </c>
      <c r="B76" s="1">
        <v>1.51947999E8</v>
      </c>
      <c r="D76" s="1">
        <v>276216.0</v>
      </c>
      <c r="E76" s="1">
        <v>284121.0</v>
      </c>
      <c r="F76" s="1">
        <v>2192.19</v>
      </c>
      <c r="G76" s="1">
        <v>38.3</v>
      </c>
      <c r="H76" s="1">
        <v>346.0</v>
      </c>
      <c r="I76" s="1">
        <v>8.0</v>
      </c>
      <c r="J76" s="1">
        <v>6.0</v>
      </c>
      <c r="K76" s="1">
        <v>16.0</v>
      </c>
      <c r="L76" s="1" t="b">
        <v>1</v>
      </c>
      <c r="M76" s="1" t="b">
        <v>1</v>
      </c>
      <c r="N76" s="1" t="b">
        <v>1</v>
      </c>
      <c r="O76" s="1" t="b">
        <v>1</v>
      </c>
      <c r="P76" s="1" t="b">
        <v>1</v>
      </c>
      <c r="Q76" s="1" t="b">
        <v>1</v>
      </c>
      <c r="R76" s="1" t="b">
        <v>1</v>
      </c>
      <c r="S76" s="1" t="s">
        <v>63</v>
      </c>
      <c r="T76" s="1" t="s">
        <v>64</v>
      </c>
      <c r="U76" s="1" t="s">
        <v>65</v>
      </c>
      <c r="V76" s="1">
        <v>5.0</v>
      </c>
      <c r="W76" s="1">
        <v>73.0</v>
      </c>
      <c r="X76" s="1">
        <v>3.0</v>
      </c>
      <c r="Y76" s="5">
        <v>46193.0</v>
      </c>
      <c r="Z76" s="1" t="s">
        <v>66</v>
      </c>
      <c r="AA76" s="1" t="b">
        <v>1</v>
      </c>
      <c r="AB76" s="1">
        <v>975.0</v>
      </c>
      <c r="AC76" s="1" t="b">
        <v>1</v>
      </c>
      <c r="AD76" s="1">
        <v>126.0</v>
      </c>
      <c r="AE76" s="1">
        <v>33.0</v>
      </c>
      <c r="AF76" s="2">
        <v>46153.0</v>
      </c>
      <c r="AG76" s="1" t="s">
        <v>102</v>
      </c>
      <c r="AH76" s="1" t="s">
        <v>103</v>
      </c>
      <c r="AI76" s="1" t="s">
        <v>138</v>
      </c>
      <c r="AJ76" s="1" t="s">
        <v>104</v>
      </c>
      <c r="AK76" s="1">
        <v>77617.0</v>
      </c>
      <c r="AL76" s="1" t="s">
        <v>71</v>
      </c>
      <c r="AM76" s="1" t="s">
        <v>72</v>
      </c>
      <c r="AN76" s="3" t="s">
        <v>363</v>
      </c>
      <c r="AO76" s="3" t="s">
        <v>364</v>
      </c>
      <c r="AP76" s="1" t="s">
        <v>365</v>
      </c>
      <c r="AQ76" s="1">
        <v>3751855.0</v>
      </c>
      <c r="AR76" s="1">
        <v>29.50107</v>
      </c>
      <c r="AS76" s="1">
        <v>-94.51444</v>
      </c>
      <c r="AT76" s="1">
        <v>47.56</v>
      </c>
      <c r="AU76" s="4">
        <f>AVERAGE($D$2:$D$830)</f>
        <v>239740.3426</v>
      </c>
      <c r="AV76" s="1">
        <v>-9.26</v>
      </c>
      <c r="AW76" s="4">
        <f>IFERROR(($AU10-D10)/$AU10,0)</f>
        <v>0.3810845584</v>
      </c>
      <c r="AX76" s="4">
        <f>$AU10-D10</f>
        <v>91361.34259</v>
      </c>
      <c r="AY76" s="1">
        <v>7905.0</v>
      </c>
      <c r="AZ76" s="1" t="s">
        <v>365</v>
      </c>
      <c r="BA76" s="1" t="s">
        <v>362</v>
      </c>
    </row>
    <row r="77">
      <c r="A77" s="1" t="s">
        <v>366</v>
      </c>
      <c r="B77" s="1">
        <v>4.72013865E8</v>
      </c>
      <c r="D77" s="1">
        <v>205382.0</v>
      </c>
      <c r="E77" s="1">
        <v>235227.0</v>
      </c>
      <c r="F77" s="1">
        <v>1325.05</v>
      </c>
      <c r="G77" s="1">
        <v>60.78</v>
      </c>
      <c r="H77" s="1">
        <v>276.0</v>
      </c>
      <c r="I77" s="1">
        <v>5.0</v>
      </c>
      <c r="J77" s="1">
        <v>5.0</v>
      </c>
      <c r="K77" s="1">
        <v>13.0</v>
      </c>
      <c r="L77" s="1" t="b">
        <v>1</v>
      </c>
      <c r="M77" s="1" t="b">
        <v>0</v>
      </c>
      <c r="N77" s="1" t="b">
        <v>0</v>
      </c>
      <c r="O77" s="1" t="b">
        <v>1</v>
      </c>
      <c r="P77" s="1" t="b">
        <v>1</v>
      </c>
      <c r="Q77" s="1" t="b">
        <v>0</v>
      </c>
      <c r="R77" s="1" t="b">
        <v>1</v>
      </c>
      <c r="S77" s="1" t="s">
        <v>63</v>
      </c>
      <c r="T77" s="1" t="s">
        <v>64</v>
      </c>
      <c r="U77" s="1" t="s">
        <v>65</v>
      </c>
      <c r="V77" s="1">
        <v>5.0</v>
      </c>
      <c r="W77" s="1">
        <v>33.0</v>
      </c>
      <c r="X77" s="1">
        <v>7.0</v>
      </c>
      <c r="Y77" s="5">
        <v>46058.0</v>
      </c>
      <c r="Z77" s="1" t="s">
        <v>66</v>
      </c>
      <c r="AA77" s="1" t="b">
        <v>1</v>
      </c>
      <c r="AB77" s="1">
        <v>685.0</v>
      </c>
      <c r="AC77" s="1" t="b">
        <v>0</v>
      </c>
      <c r="AD77" s="1">
        <v>155.0</v>
      </c>
      <c r="AE77" s="1">
        <v>25.0</v>
      </c>
      <c r="AF77" s="2">
        <v>46156.0</v>
      </c>
      <c r="AG77" s="1" t="s">
        <v>81</v>
      </c>
      <c r="AH77" s="1" t="s">
        <v>82</v>
      </c>
      <c r="AI77" s="1" t="s">
        <v>82</v>
      </c>
      <c r="AJ77" s="1" t="s">
        <v>70</v>
      </c>
      <c r="AK77" s="1">
        <v>33924.0</v>
      </c>
      <c r="AL77" s="1" t="s">
        <v>71</v>
      </c>
      <c r="AM77" s="1" t="s">
        <v>72</v>
      </c>
      <c r="AN77" s="3" t="s">
        <v>367</v>
      </c>
      <c r="AO77" s="3" t="s">
        <v>368</v>
      </c>
      <c r="AP77" s="1" t="s">
        <v>369</v>
      </c>
      <c r="AQ77" s="1">
        <v>3846651.0</v>
      </c>
      <c r="AR77" s="1">
        <v>26.4882</v>
      </c>
      <c r="AS77" s="1">
        <v>-82.1831</v>
      </c>
      <c r="AT77" s="1">
        <v>55.98</v>
      </c>
      <c r="AU77" s="4">
        <f>AVERAGE($D$2:$D$501)</f>
        <v>239740.3426</v>
      </c>
      <c r="AV77" s="1">
        <v>4.8</v>
      </c>
      <c r="AW77" s="4">
        <f>IFERROR(($AU19-D19)/$AU19,0)</f>
        <v>0.4487035491</v>
      </c>
      <c r="AX77" s="4">
        <f>$AU19-D19</f>
        <v>107572.3426</v>
      </c>
      <c r="AY77" s="1">
        <v>29845.0</v>
      </c>
      <c r="AZ77" s="1" t="s">
        <v>369</v>
      </c>
      <c r="BA77" s="1" t="s">
        <v>366</v>
      </c>
    </row>
    <row r="78">
      <c r="A78" s="1" t="s">
        <v>370</v>
      </c>
      <c r="B78" s="1">
        <v>5.51721831E8</v>
      </c>
      <c r="D78" s="1">
        <v>196710.0</v>
      </c>
      <c r="E78" s="1">
        <v>302452.0</v>
      </c>
      <c r="F78" s="1">
        <v>2092.66</v>
      </c>
      <c r="G78" s="1">
        <v>49.47</v>
      </c>
      <c r="H78" s="1">
        <v>255.0</v>
      </c>
      <c r="I78" s="1">
        <v>6.0</v>
      </c>
      <c r="J78" s="1">
        <v>9.0</v>
      </c>
      <c r="K78" s="1">
        <v>16.0</v>
      </c>
      <c r="L78" s="1" t="b">
        <v>1</v>
      </c>
      <c r="M78" s="1" t="b">
        <v>0</v>
      </c>
      <c r="N78" s="1" t="b">
        <v>1</v>
      </c>
      <c r="O78" s="1" t="b">
        <v>1</v>
      </c>
      <c r="P78" s="1" t="b">
        <v>1</v>
      </c>
      <c r="Q78" s="1" t="b">
        <v>1</v>
      </c>
      <c r="R78" s="1" t="b">
        <v>1</v>
      </c>
      <c r="S78" s="1" t="s">
        <v>63</v>
      </c>
      <c r="T78" s="1" t="s">
        <v>64</v>
      </c>
      <c r="U78" s="1" t="s">
        <v>65</v>
      </c>
      <c r="V78" s="1">
        <v>5.0</v>
      </c>
      <c r="W78" s="1">
        <v>22.0</v>
      </c>
      <c r="X78" s="1">
        <v>5.0</v>
      </c>
      <c r="Y78" s="5">
        <v>46193.0</v>
      </c>
      <c r="Z78" s="1" t="s">
        <v>66</v>
      </c>
      <c r="AA78" s="1" t="b">
        <v>1</v>
      </c>
      <c r="AB78" s="1">
        <v>1226.0</v>
      </c>
      <c r="AC78" s="1" t="b">
        <v>0</v>
      </c>
      <c r="AD78" s="1">
        <v>94.0</v>
      </c>
      <c r="AE78" s="1">
        <v>15.0</v>
      </c>
      <c r="AF78" s="2">
        <v>46153.0</v>
      </c>
      <c r="AG78" s="1" t="s">
        <v>67</v>
      </c>
      <c r="AH78" s="1" t="s">
        <v>76</v>
      </c>
      <c r="AI78" s="1" t="s">
        <v>76</v>
      </c>
      <c r="AJ78" s="1" t="s">
        <v>70</v>
      </c>
      <c r="AK78" s="1">
        <v>32550.0</v>
      </c>
      <c r="AL78" s="1" t="s">
        <v>71</v>
      </c>
      <c r="AM78" s="1" t="s">
        <v>72</v>
      </c>
      <c r="AN78" s="3" t="s">
        <v>371</v>
      </c>
      <c r="AO78" s="3" t="s">
        <v>372</v>
      </c>
      <c r="AP78" s="1" t="s">
        <v>373</v>
      </c>
      <c r="AQ78" s="1">
        <v>3822805.0</v>
      </c>
      <c r="AR78" s="1">
        <v>30.37049</v>
      </c>
      <c r="AS78" s="1">
        <v>-86.33533</v>
      </c>
      <c r="AT78" s="1">
        <v>58.77</v>
      </c>
      <c r="AU78" s="4">
        <f t="shared" ref="AU78:AU79" si="14">AVERAGE($D$2:$D$554)</f>
        <v>239740.3426</v>
      </c>
      <c r="AV78" s="1">
        <v>-9.3</v>
      </c>
      <c r="AW78" s="4">
        <f>IFERROR(($AU50-D50)/$AU50,0)</f>
        <v>0.1327784145</v>
      </c>
      <c r="AX78" s="4">
        <f>$AU50-D50</f>
        <v>31832.34259</v>
      </c>
      <c r="AY78" s="1">
        <v>105742.0</v>
      </c>
      <c r="AZ78" s="1" t="s">
        <v>373</v>
      </c>
      <c r="BA78" s="1" t="s">
        <v>370</v>
      </c>
    </row>
    <row r="79">
      <c r="A79" s="1" t="s">
        <v>374</v>
      </c>
      <c r="B79" s="1">
        <v>5.51721831E8</v>
      </c>
      <c r="D79" s="1">
        <v>240411.0</v>
      </c>
      <c r="E79" s="1">
        <v>313896.0</v>
      </c>
      <c r="F79" s="1">
        <v>1878.21</v>
      </c>
      <c r="G79" s="1">
        <v>59.26</v>
      </c>
      <c r="H79" s="1">
        <v>277.0</v>
      </c>
      <c r="I79" s="1">
        <v>6.0</v>
      </c>
      <c r="J79" s="1">
        <v>7.0</v>
      </c>
      <c r="K79" s="1">
        <v>16.0</v>
      </c>
      <c r="L79" s="1" t="b">
        <v>1</v>
      </c>
      <c r="M79" s="1" t="b">
        <v>0</v>
      </c>
      <c r="N79" s="1" t="b">
        <v>1</v>
      </c>
      <c r="O79" s="1" t="b">
        <v>1</v>
      </c>
      <c r="P79" s="1" t="b">
        <v>1</v>
      </c>
      <c r="Q79" s="1" t="b">
        <v>1</v>
      </c>
      <c r="R79" s="1" t="b">
        <v>1</v>
      </c>
      <c r="S79" s="1" t="s">
        <v>63</v>
      </c>
      <c r="T79" s="1" t="s">
        <v>64</v>
      </c>
      <c r="U79" s="1" t="s">
        <v>65</v>
      </c>
      <c r="V79" s="1">
        <v>5.0</v>
      </c>
      <c r="W79" s="1">
        <v>28.0</v>
      </c>
      <c r="X79" s="1">
        <v>5.0</v>
      </c>
      <c r="Y79" s="5">
        <v>46193.0</v>
      </c>
      <c r="Z79" s="1" t="s">
        <v>66</v>
      </c>
      <c r="AA79" s="1" t="b">
        <v>1</v>
      </c>
      <c r="AB79" s="1">
        <v>1226.0</v>
      </c>
      <c r="AC79" s="1" t="b">
        <v>0</v>
      </c>
      <c r="AD79" s="1">
        <v>128.0</v>
      </c>
      <c r="AE79" s="1">
        <v>24.0</v>
      </c>
      <c r="AF79" s="2">
        <v>46159.0</v>
      </c>
      <c r="AG79" s="1" t="s">
        <v>67</v>
      </c>
      <c r="AH79" s="1" t="s">
        <v>76</v>
      </c>
      <c r="AI79" s="1" t="s">
        <v>76</v>
      </c>
      <c r="AJ79" s="1" t="s">
        <v>70</v>
      </c>
      <c r="AK79" s="1">
        <v>32550.0</v>
      </c>
      <c r="AL79" s="1" t="s">
        <v>71</v>
      </c>
      <c r="AM79" s="1" t="s">
        <v>72</v>
      </c>
      <c r="AN79" s="3" t="s">
        <v>375</v>
      </c>
      <c r="AO79" s="3" t="s">
        <v>376</v>
      </c>
      <c r="AP79" s="1" t="s">
        <v>377</v>
      </c>
      <c r="AQ79" s="1">
        <v>3822808.0</v>
      </c>
      <c r="AR79" s="1">
        <v>30.3712</v>
      </c>
      <c r="AS79" s="1">
        <v>-86.3349</v>
      </c>
      <c r="AT79" s="1">
        <v>58.77</v>
      </c>
      <c r="AU79" s="4">
        <f t="shared" si="14"/>
        <v>239740.3426</v>
      </c>
      <c r="AV79" s="1">
        <v>0.49</v>
      </c>
      <c r="AW79" s="4">
        <f>IFERROR(($AU35-D35)/$AU35,0)</f>
        <v>0.3930141318</v>
      </c>
      <c r="AX79" s="4">
        <f>$AU35-D35</f>
        <v>94221.34259</v>
      </c>
      <c r="AY79" s="1">
        <v>73485.0</v>
      </c>
      <c r="AZ79" s="1" t="s">
        <v>377</v>
      </c>
      <c r="BA79" s="1" t="s">
        <v>374</v>
      </c>
    </row>
    <row r="80">
      <c r="A80" s="1" t="s">
        <v>378</v>
      </c>
      <c r="B80" s="1">
        <v>2.01636065E8</v>
      </c>
      <c r="D80" s="1">
        <v>570732.0</v>
      </c>
      <c r="E80" s="1">
        <v>666914.0</v>
      </c>
      <c r="F80" s="1">
        <v>3544.92</v>
      </c>
      <c r="G80" s="1">
        <v>54.03</v>
      </c>
      <c r="H80" s="1">
        <v>335.0</v>
      </c>
      <c r="I80" s="1">
        <v>13.0</v>
      </c>
      <c r="J80" s="1">
        <v>10.0</v>
      </c>
      <c r="K80" s="1">
        <v>16.0</v>
      </c>
      <c r="L80" s="1" t="b">
        <v>1</v>
      </c>
      <c r="M80" s="1" t="b">
        <v>0</v>
      </c>
      <c r="N80" s="1" t="b">
        <v>1</v>
      </c>
      <c r="O80" s="1" t="b">
        <v>1</v>
      </c>
      <c r="P80" s="1" t="b">
        <v>1</v>
      </c>
      <c r="Q80" s="1" t="b">
        <v>1</v>
      </c>
      <c r="R80" s="1" t="b">
        <v>1</v>
      </c>
      <c r="S80" s="1" t="s">
        <v>63</v>
      </c>
      <c r="T80" s="1" t="s">
        <v>64</v>
      </c>
      <c r="U80" s="1" t="s">
        <v>65</v>
      </c>
      <c r="V80" s="1">
        <v>4.8</v>
      </c>
      <c r="W80" s="1">
        <v>86.0</v>
      </c>
      <c r="X80" s="1">
        <v>7.0</v>
      </c>
      <c r="Y80" s="5">
        <v>46193.0</v>
      </c>
      <c r="Z80" s="1" t="s">
        <v>66</v>
      </c>
      <c r="AA80" s="1" t="b">
        <v>0</v>
      </c>
      <c r="AB80" s="1">
        <v>1651.0</v>
      </c>
      <c r="AC80" s="1" t="b">
        <v>1</v>
      </c>
      <c r="AD80" s="1">
        <v>161.0</v>
      </c>
      <c r="AE80" s="1">
        <v>21.0</v>
      </c>
      <c r="AF80" s="2">
        <v>46153.0</v>
      </c>
      <c r="AG80" s="1" t="s">
        <v>169</v>
      </c>
      <c r="AH80" s="1" t="s">
        <v>170</v>
      </c>
      <c r="AI80" s="1" t="s">
        <v>170</v>
      </c>
      <c r="AJ80" s="1" t="s">
        <v>70</v>
      </c>
      <c r="AK80" s="1">
        <v>33050.0</v>
      </c>
      <c r="AL80" s="1" t="s">
        <v>71</v>
      </c>
      <c r="AM80" s="1" t="s">
        <v>72</v>
      </c>
      <c r="AN80" s="3" t="s">
        <v>379</v>
      </c>
      <c r="AO80" s="3" t="s">
        <v>380</v>
      </c>
      <c r="AP80" s="1" t="s">
        <v>381</v>
      </c>
      <c r="AQ80" s="1">
        <v>465340.0</v>
      </c>
      <c r="AR80" s="1">
        <v>24.69358</v>
      </c>
      <c r="AS80" s="1">
        <v>-81.08014</v>
      </c>
      <c r="AT80" s="1">
        <v>59.15</v>
      </c>
      <c r="AU80" s="4">
        <f>AVERAGE($D$2:$D$85)</f>
        <v>256365.4524</v>
      </c>
      <c r="AV80" s="1">
        <v>-5.12</v>
      </c>
      <c r="AW80" s="4">
        <f>IFERROR(($AU3-D3)/$AU3,0)</f>
        <v>0.1071256607</v>
      </c>
      <c r="AX80" s="4">
        <f>$AU3-D3</f>
        <v>25682.34259</v>
      </c>
      <c r="AY80" s="1">
        <v>96182.0</v>
      </c>
      <c r="AZ80" s="1" t="s">
        <v>381</v>
      </c>
      <c r="BA80" s="1" t="s">
        <v>378</v>
      </c>
    </row>
    <row r="81">
      <c r="A81" s="1" t="s">
        <v>382</v>
      </c>
      <c r="B81" s="1">
        <v>3.33751434E8</v>
      </c>
      <c r="D81" s="1">
        <v>107004.0</v>
      </c>
      <c r="E81" s="1">
        <v>236836.0</v>
      </c>
      <c r="F81" s="1">
        <v>1289.2</v>
      </c>
      <c r="G81" s="1">
        <v>50.3</v>
      </c>
      <c r="H81" s="1">
        <v>166.0</v>
      </c>
      <c r="I81" s="1">
        <v>7.0</v>
      </c>
      <c r="J81" s="1">
        <v>7.0</v>
      </c>
      <c r="K81" s="1">
        <v>16.0</v>
      </c>
      <c r="L81" s="1" t="b">
        <v>1</v>
      </c>
      <c r="M81" s="1" t="b">
        <v>0</v>
      </c>
      <c r="N81" s="1" t="b">
        <v>1</v>
      </c>
      <c r="O81" s="1" t="b">
        <v>1</v>
      </c>
      <c r="P81" s="1" t="b">
        <v>1</v>
      </c>
      <c r="Q81" s="1" t="b">
        <v>1</v>
      </c>
      <c r="R81" s="1" t="b">
        <v>1</v>
      </c>
      <c r="S81" s="1" t="s">
        <v>63</v>
      </c>
      <c r="T81" s="1" t="s">
        <v>64</v>
      </c>
      <c r="U81" s="1" t="s">
        <v>65</v>
      </c>
      <c r="V81" s="1">
        <v>4.9</v>
      </c>
      <c r="W81" s="1">
        <v>10.0</v>
      </c>
      <c r="X81" s="1">
        <v>2.0</v>
      </c>
      <c r="Y81" s="5">
        <v>46193.0</v>
      </c>
      <c r="Z81" s="1" t="s">
        <v>66</v>
      </c>
      <c r="AA81" s="1" t="b">
        <v>1</v>
      </c>
      <c r="AB81" s="1">
        <v>625.0</v>
      </c>
      <c r="AC81" s="1" t="b">
        <v>0</v>
      </c>
      <c r="AD81" s="1">
        <v>83.0</v>
      </c>
      <c r="AE81" s="1">
        <v>26.0</v>
      </c>
      <c r="AF81" s="2">
        <v>46153.0</v>
      </c>
      <c r="AG81" s="1" t="s">
        <v>102</v>
      </c>
      <c r="AH81" s="1" t="s">
        <v>250</v>
      </c>
      <c r="AI81" s="1" t="s">
        <v>250</v>
      </c>
      <c r="AJ81" s="1" t="s">
        <v>104</v>
      </c>
      <c r="AK81" s="1">
        <v>77539.0</v>
      </c>
      <c r="AL81" s="1" t="s">
        <v>71</v>
      </c>
      <c r="AM81" s="1" t="s">
        <v>72</v>
      </c>
      <c r="AN81" s="3" t="s">
        <v>383</v>
      </c>
      <c r="AO81" s="3" t="s">
        <v>384</v>
      </c>
      <c r="AP81" s="1" t="s">
        <v>385</v>
      </c>
      <c r="AQ81" s="1">
        <v>3848007.0</v>
      </c>
      <c r="AR81" s="1">
        <v>29.4982</v>
      </c>
      <c r="AS81" s="1">
        <v>-94.9248</v>
      </c>
      <c r="AT81" s="1">
        <v>47.56</v>
      </c>
      <c r="AU81" s="4">
        <f>AVERAGE($D$2:$D$830)</f>
        <v>239740.3426</v>
      </c>
      <c r="AV81" s="1">
        <v>2.74</v>
      </c>
      <c r="AW81" s="4">
        <f>IFERROR(($AU108-D108)/$AU108,0)</f>
        <v>-0.06789703073</v>
      </c>
      <c r="AX81" s="4">
        <f>$AU108-D108</f>
        <v>-16277.65741</v>
      </c>
      <c r="AY81" s="1">
        <v>129832.0</v>
      </c>
      <c r="AZ81" s="1" t="s">
        <v>385</v>
      </c>
      <c r="BA81" s="1" t="s">
        <v>382</v>
      </c>
    </row>
    <row r="82">
      <c r="A82" s="1" t="s">
        <v>386</v>
      </c>
      <c r="B82" s="1">
        <v>5.43574064E8</v>
      </c>
      <c r="D82" s="1">
        <v>131051.0</v>
      </c>
      <c r="E82" s="1">
        <v>131051.0</v>
      </c>
      <c r="F82" s="1">
        <v>3196.37</v>
      </c>
      <c r="G82" s="1">
        <v>16.73</v>
      </c>
      <c r="H82" s="1">
        <v>365.0</v>
      </c>
      <c r="I82" s="1">
        <v>7.0</v>
      </c>
      <c r="J82" s="1">
        <v>5.0</v>
      </c>
      <c r="K82" s="1">
        <v>16.0</v>
      </c>
      <c r="L82" s="1" t="b">
        <v>1</v>
      </c>
      <c r="M82" s="1" t="b">
        <v>0</v>
      </c>
      <c r="N82" s="1" t="b">
        <v>0</v>
      </c>
      <c r="O82" s="1" t="b">
        <v>1</v>
      </c>
      <c r="P82" s="1" t="b">
        <v>1</v>
      </c>
      <c r="Q82" s="1" t="b">
        <v>0</v>
      </c>
      <c r="R82" s="1" t="b">
        <v>1</v>
      </c>
      <c r="S82" s="1" t="s">
        <v>63</v>
      </c>
      <c r="T82" s="1" t="s">
        <v>64</v>
      </c>
      <c r="U82" s="1" t="s">
        <v>65</v>
      </c>
      <c r="V82" s="1">
        <v>5.0</v>
      </c>
      <c r="W82" s="1">
        <v>8.0</v>
      </c>
      <c r="X82" s="1">
        <v>1.0</v>
      </c>
      <c r="Y82" s="5">
        <v>46193.0</v>
      </c>
      <c r="Z82" s="1" t="s">
        <v>66</v>
      </c>
      <c r="AA82" s="1" t="b">
        <v>1</v>
      </c>
      <c r="AB82" s="1">
        <v>1085.0</v>
      </c>
      <c r="AC82" s="1" t="b">
        <v>1</v>
      </c>
      <c r="AD82" s="1">
        <v>41.0</v>
      </c>
      <c r="AE82" s="1">
        <v>12.0</v>
      </c>
      <c r="AF82" s="2">
        <v>46156.0</v>
      </c>
      <c r="AG82" s="1" t="s">
        <v>203</v>
      </c>
      <c r="AH82" s="1" t="s">
        <v>204</v>
      </c>
      <c r="AI82" s="1" t="s">
        <v>203</v>
      </c>
      <c r="AJ82" s="1" t="s">
        <v>70</v>
      </c>
      <c r="AK82" s="1">
        <v>34242.0</v>
      </c>
      <c r="AL82" s="1" t="s">
        <v>71</v>
      </c>
      <c r="AM82" s="1" t="s">
        <v>72</v>
      </c>
      <c r="AN82" s="3" t="s">
        <v>387</v>
      </c>
      <c r="AO82" s="3" t="s">
        <v>388</v>
      </c>
      <c r="AP82" s="1" t="s">
        <v>389</v>
      </c>
      <c r="AR82" s="1">
        <v>27.26671</v>
      </c>
      <c r="AS82" s="1">
        <v>-82.5509</v>
      </c>
      <c r="AT82" s="1">
        <v>63.0</v>
      </c>
      <c r="AU82" s="4">
        <f>AVERAGE($D$2:$D$1012)</f>
        <v>239740.3426</v>
      </c>
      <c r="AV82" s="1">
        <v>-46.27</v>
      </c>
      <c r="AW82" s="4">
        <f>IFERROR(($AU170-D170)/$AU170,0)</f>
        <v>0</v>
      </c>
      <c r="AX82" s="4">
        <f>$AU170-D170</f>
        <v>0</v>
      </c>
      <c r="AY82" s="1">
        <v>0.0</v>
      </c>
      <c r="AZ82" s="1" t="s">
        <v>389</v>
      </c>
      <c r="BA82" s="1" t="s">
        <v>386</v>
      </c>
    </row>
    <row r="83">
      <c r="A83" s="1" t="s">
        <v>390</v>
      </c>
      <c r="B83" s="1">
        <v>1.57552394E8</v>
      </c>
      <c r="D83" s="1">
        <v>231487.0</v>
      </c>
      <c r="E83" s="1">
        <v>283671.0</v>
      </c>
      <c r="F83" s="1">
        <v>1653.48</v>
      </c>
      <c r="G83" s="1">
        <v>46.82</v>
      </c>
      <c r="H83" s="1">
        <v>299.0</v>
      </c>
      <c r="I83" s="1">
        <v>5.0</v>
      </c>
      <c r="J83" s="1">
        <v>4.0</v>
      </c>
      <c r="K83" s="1">
        <v>16.0</v>
      </c>
      <c r="L83" s="1" t="b">
        <v>1</v>
      </c>
      <c r="M83" s="1" t="b">
        <v>1</v>
      </c>
      <c r="N83" s="1" t="b">
        <v>1</v>
      </c>
      <c r="O83" s="1" t="b">
        <v>1</v>
      </c>
      <c r="P83" s="1" t="b">
        <v>1</v>
      </c>
      <c r="Q83" s="1" t="b">
        <v>1</v>
      </c>
      <c r="R83" s="1" t="b">
        <v>1</v>
      </c>
      <c r="S83" s="1" t="s">
        <v>63</v>
      </c>
      <c r="T83" s="1" t="s">
        <v>64</v>
      </c>
      <c r="U83" s="1" t="s">
        <v>65</v>
      </c>
      <c r="V83" s="1">
        <v>5.0</v>
      </c>
      <c r="W83" s="1">
        <v>52.0</v>
      </c>
      <c r="X83" s="1">
        <v>2.0</v>
      </c>
      <c r="Y83" s="5">
        <v>46058.0</v>
      </c>
      <c r="Z83" s="1" t="s">
        <v>66</v>
      </c>
      <c r="AA83" s="1" t="b">
        <v>1</v>
      </c>
      <c r="AB83" s="1">
        <v>734.0</v>
      </c>
      <c r="AC83" s="1" t="b">
        <v>1</v>
      </c>
      <c r="AD83" s="1">
        <v>140.0</v>
      </c>
      <c r="AE83" s="1">
        <v>45.0</v>
      </c>
      <c r="AF83" s="2">
        <v>46158.0</v>
      </c>
      <c r="AG83" s="1" t="s">
        <v>102</v>
      </c>
      <c r="AH83" s="1" t="s">
        <v>102</v>
      </c>
      <c r="AI83" s="1" t="s">
        <v>102</v>
      </c>
      <c r="AJ83" s="1" t="s">
        <v>104</v>
      </c>
      <c r="AK83" s="1">
        <v>77554.0</v>
      </c>
      <c r="AL83" s="1" t="s">
        <v>71</v>
      </c>
      <c r="AM83" s="1" t="s">
        <v>72</v>
      </c>
      <c r="AN83" s="3" t="s">
        <v>391</v>
      </c>
      <c r="AO83" s="3" t="s">
        <v>392</v>
      </c>
      <c r="AP83" s="1" t="s">
        <v>393</v>
      </c>
      <c r="AQ83" s="1">
        <v>3914015.0</v>
      </c>
      <c r="AR83" s="1">
        <v>29.1066</v>
      </c>
      <c r="AS83" s="1">
        <v>-95.0914</v>
      </c>
      <c r="AT83" s="1">
        <v>45.23</v>
      </c>
      <c r="AU83" s="4">
        <f t="shared" ref="AU83:AU85" si="15">AVERAGE($D$2:$D$830)</f>
        <v>239740.3426</v>
      </c>
      <c r="AV83" s="1">
        <v>1.59</v>
      </c>
      <c r="AW83" s="4">
        <f>IFERROR(($AU13-D13)/$AU13,0)</f>
        <v>-3.563658282</v>
      </c>
      <c r="AX83" s="4">
        <f>$AU13-D13</f>
        <v>-854352.6574</v>
      </c>
      <c r="AY83" s="1">
        <v>52184.0</v>
      </c>
      <c r="AZ83" s="1" t="s">
        <v>393</v>
      </c>
      <c r="BA83" s="1" t="s">
        <v>390</v>
      </c>
    </row>
    <row r="84">
      <c r="A84" s="1" t="s">
        <v>394</v>
      </c>
      <c r="B84" s="1">
        <v>5.69158452E8</v>
      </c>
      <c r="D84" s="1">
        <v>137140.0</v>
      </c>
      <c r="E84" s="1">
        <v>189179.0</v>
      </c>
      <c r="F84" s="1">
        <v>1162.2</v>
      </c>
      <c r="G84" s="1">
        <v>48.76</v>
      </c>
      <c r="H84" s="1">
        <v>281.0</v>
      </c>
      <c r="I84" s="1">
        <v>5.0</v>
      </c>
      <c r="J84" s="1">
        <v>5.0</v>
      </c>
      <c r="K84" s="1">
        <v>14.0</v>
      </c>
      <c r="L84" s="1" t="b">
        <v>1</v>
      </c>
      <c r="M84" s="1" t="b">
        <v>0</v>
      </c>
      <c r="N84" s="1" t="b">
        <v>0</v>
      </c>
      <c r="O84" s="1" t="b">
        <v>1</v>
      </c>
      <c r="P84" s="1" t="b">
        <v>1</v>
      </c>
      <c r="Q84" s="1" t="b">
        <v>0</v>
      </c>
      <c r="R84" s="1" t="b">
        <v>0</v>
      </c>
      <c r="S84" s="1" t="s">
        <v>63</v>
      </c>
      <c r="T84" s="1" t="s">
        <v>64</v>
      </c>
      <c r="U84" s="1" t="s">
        <v>65</v>
      </c>
      <c r="V84" s="1">
        <v>5.0</v>
      </c>
      <c r="W84" s="1">
        <v>34.0</v>
      </c>
      <c r="X84" s="1">
        <v>3.0</v>
      </c>
      <c r="Y84" s="5">
        <v>46193.0</v>
      </c>
      <c r="Z84" s="1" t="s">
        <v>66</v>
      </c>
      <c r="AA84" s="1" t="b">
        <v>1</v>
      </c>
      <c r="AB84" s="1">
        <v>462.0</v>
      </c>
      <c r="AC84" s="1" t="b">
        <v>0</v>
      </c>
      <c r="AD84" s="1">
        <v>118.0</v>
      </c>
      <c r="AE84" s="1">
        <v>25.0</v>
      </c>
      <c r="AF84" s="2">
        <v>46155.0</v>
      </c>
      <c r="AG84" s="1" t="s">
        <v>102</v>
      </c>
      <c r="AH84" s="1" t="s">
        <v>102</v>
      </c>
      <c r="AI84" s="1" t="s">
        <v>102</v>
      </c>
      <c r="AJ84" s="1" t="s">
        <v>104</v>
      </c>
      <c r="AK84" s="1">
        <v>77550.0</v>
      </c>
      <c r="AL84" s="1" t="s">
        <v>71</v>
      </c>
      <c r="AM84" s="1" t="s">
        <v>72</v>
      </c>
      <c r="AN84" s="3" t="s">
        <v>395</v>
      </c>
      <c r="AO84" s="3" t="s">
        <v>396</v>
      </c>
      <c r="AP84" s="1" t="s">
        <v>397</v>
      </c>
      <c r="AQ84" s="1">
        <v>3942043.0</v>
      </c>
      <c r="AR84" s="1">
        <v>29.3104</v>
      </c>
      <c r="AS84" s="1">
        <v>-94.7619</v>
      </c>
      <c r="AT84" s="1">
        <v>45.23</v>
      </c>
      <c r="AU84" s="4">
        <f t="shared" si="15"/>
        <v>239740.3426</v>
      </c>
      <c r="AV84" s="1">
        <v>3.53</v>
      </c>
      <c r="AW84" s="4">
        <f>IFERROR(($AU63-D63)/$AU63,0)</f>
        <v>0.2454544861</v>
      </c>
      <c r="AX84" s="4">
        <f>$AU63-D63</f>
        <v>58845.34259</v>
      </c>
      <c r="AY84" s="1">
        <v>52039.0</v>
      </c>
      <c r="AZ84" s="1" t="s">
        <v>397</v>
      </c>
      <c r="BA84" s="1" t="s">
        <v>394</v>
      </c>
    </row>
    <row r="85">
      <c r="A85" s="1" t="s">
        <v>398</v>
      </c>
      <c r="B85" s="1">
        <v>3.33751434E8</v>
      </c>
      <c r="D85" s="1">
        <v>219593.0</v>
      </c>
      <c r="E85" s="1">
        <v>346865.0</v>
      </c>
      <c r="F85" s="1">
        <v>1663.58</v>
      </c>
      <c r="G85" s="1">
        <v>67.01</v>
      </c>
      <c r="H85" s="1">
        <v>197.0</v>
      </c>
      <c r="I85" s="1">
        <v>9.0</v>
      </c>
      <c r="J85" s="1">
        <v>9.0</v>
      </c>
      <c r="K85" s="1">
        <v>16.0</v>
      </c>
      <c r="L85" s="1" t="b">
        <v>1</v>
      </c>
      <c r="M85" s="1" t="b">
        <v>0</v>
      </c>
      <c r="N85" s="1" t="b">
        <v>1</v>
      </c>
      <c r="O85" s="1" t="b">
        <v>1</v>
      </c>
      <c r="P85" s="1" t="b">
        <v>1</v>
      </c>
      <c r="Q85" s="1" t="b">
        <v>1</v>
      </c>
      <c r="R85" s="1" t="b">
        <v>1</v>
      </c>
      <c r="S85" s="1" t="s">
        <v>63</v>
      </c>
      <c r="T85" s="1" t="s">
        <v>64</v>
      </c>
      <c r="U85" s="1" t="s">
        <v>65</v>
      </c>
      <c r="V85" s="1">
        <v>4.75</v>
      </c>
      <c r="W85" s="1">
        <v>7.0</v>
      </c>
      <c r="X85" s="1">
        <v>3.0</v>
      </c>
      <c r="Y85" s="5">
        <v>46193.0</v>
      </c>
      <c r="Z85" s="1" t="s">
        <v>66</v>
      </c>
      <c r="AA85" s="1" t="b">
        <v>1</v>
      </c>
      <c r="AB85" s="1">
        <v>797.0</v>
      </c>
      <c r="AC85" s="1" t="b">
        <v>0</v>
      </c>
      <c r="AD85" s="1">
        <v>132.0</v>
      </c>
      <c r="AE85" s="1">
        <v>35.0</v>
      </c>
      <c r="AF85" s="2">
        <v>46159.0</v>
      </c>
      <c r="AG85" s="1" t="s">
        <v>102</v>
      </c>
      <c r="AH85" s="1" t="s">
        <v>250</v>
      </c>
      <c r="AI85" s="1" t="s">
        <v>250</v>
      </c>
      <c r="AJ85" s="1" t="s">
        <v>104</v>
      </c>
      <c r="AK85" s="1">
        <v>77539.0</v>
      </c>
      <c r="AL85" s="1" t="s">
        <v>71</v>
      </c>
      <c r="AM85" s="1" t="s">
        <v>72</v>
      </c>
      <c r="AN85" s="3" t="s">
        <v>399</v>
      </c>
      <c r="AO85" s="3" t="s">
        <v>400</v>
      </c>
      <c r="AP85" s="1" t="s">
        <v>401</v>
      </c>
      <c r="AQ85" s="1">
        <v>3993495.0</v>
      </c>
      <c r="AR85" s="1">
        <v>29.4982</v>
      </c>
      <c r="AS85" s="1">
        <v>-94.9248</v>
      </c>
      <c r="AT85" s="1">
        <v>47.56</v>
      </c>
      <c r="AU85" s="4">
        <f t="shared" si="15"/>
        <v>239740.3426</v>
      </c>
      <c r="AV85" s="1">
        <v>19.45</v>
      </c>
      <c r="AW85" s="4">
        <f>IFERROR(($AU15-D15)/$AU15,0)</f>
        <v>0.4959004451</v>
      </c>
      <c r="AX85" s="4">
        <f>$AU15-D15</f>
        <v>118887.3426</v>
      </c>
      <c r="AY85" s="1">
        <v>127272.0</v>
      </c>
      <c r="AZ85" s="1" t="s">
        <v>401</v>
      </c>
      <c r="BA85" s="1" t="s">
        <v>398</v>
      </c>
    </row>
    <row r="86">
      <c r="A86" s="1" t="s">
        <v>402</v>
      </c>
      <c r="B86" s="1">
        <v>5.51721831E8</v>
      </c>
      <c r="D86" s="1">
        <v>130690.0</v>
      </c>
      <c r="E86" s="1">
        <v>196597.0</v>
      </c>
      <c r="F86" s="1">
        <v>1894.06</v>
      </c>
      <c r="G86" s="1">
        <v>32.24</v>
      </c>
      <c r="H86" s="1">
        <v>249.0</v>
      </c>
      <c r="I86" s="1">
        <v>11.0</v>
      </c>
      <c r="J86" s="1">
        <v>9.0</v>
      </c>
      <c r="K86" s="1">
        <v>16.0</v>
      </c>
      <c r="L86" s="1" t="b">
        <v>1</v>
      </c>
      <c r="M86" s="1" t="b">
        <v>0</v>
      </c>
      <c r="N86" s="1" t="b">
        <v>1</v>
      </c>
      <c r="O86" s="1" t="b">
        <v>1</v>
      </c>
      <c r="P86" s="1" t="b">
        <v>1</v>
      </c>
      <c r="Q86" s="1" t="b">
        <v>1</v>
      </c>
      <c r="R86" s="1" t="b">
        <v>1</v>
      </c>
      <c r="S86" s="1" t="s">
        <v>63</v>
      </c>
      <c r="T86" s="1" t="s">
        <v>64</v>
      </c>
      <c r="U86" s="1" t="s">
        <v>65</v>
      </c>
      <c r="V86" s="1">
        <v>5.0</v>
      </c>
      <c r="W86" s="1">
        <v>27.0</v>
      </c>
      <c r="X86" s="1">
        <v>4.0</v>
      </c>
      <c r="Y86" s="5">
        <v>46193.0</v>
      </c>
      <c r="Z86" s="1" t="s">
        <v>66</v>
      </c>
      <c r="AA86" s="1" t="b">
        <v>1</v>
      </c>
      <c r="AB86" s="1">
        <v>1127.0</v>
      </c>
      <c r="AC86" s="1" t="b">
        <v>0</v>
      </c>
      <c r="AD86" s="1">
        <v>69.0</v>
      </c>
      <c r="AE86" s="1">
        <v>18.0</v>
      </c>
      <c r="AF86" s="2">
        <v>46155.0</v>
      </c>
      <c r="AG86" s="1" t="s">
        <v>67</v>
      </c>
      <c r="AH86" s="1" t="s">
        <v>76</v>
      </c>
      <c r="AI86" s="1" t="s">
        <v>76</v>
      </c>
      <c r="AJ86" s="1" t="s">
        <v>70</v>
      </c>
      <c r="AK86" s="1">
        <v>32550.0</v>
      </c>
      <c r="AL86" s="1" t="s">
        <v>71</v>
      </c>
      <c r="AM86" s="1" t="s">
        <v>72</v>
      </c>
      <c r="AN86" s="3" t="s">
        <v>403</v>
      </c>
      <c r="AO86" s="3" t="s">
        <v>404</v>
      </c>
      <c r="AP86" s="1" t="s">
        <v>405</v>
      </c>
      <c r="AQ86" s="1">
        <v>4004512.0</v>
      </c>
      <c r="AR86" s="1">
        <v>30.3765</v>
      </c>
      <c r="AS86" s="1">
        <v>-86.3602</v>
      </c>
      <c r="AT86" s="1">
        <v>57.2</v>
      </c>
      <c r="AU86" s="4">
        <f t="shared" ref="AU86:AU87" si="16">AVERAGE($D$2:$D$554)</f>
        <v>239740.3426</v>
      </c>
      <c r="AV86" s="1">
        <v>-24.96</v>
      </c>
      <c r="AW86" s="4">
        <f>IFERROR(($AU96-D96)/$AU96,0)</f>
        <v>0.147081389</v>
      </c>
      <c r="AX86" s="4">
        <f>$AU96-D96</f>
        <v>35261.34259</v>
      </c>
      <c r="AY86" s="1">
        <v>65907.0</v>
      </c>
      <c r="AZ86" s="1" t="s">
        <v>405</v>
      </c>
      <c r="BA86" s="1" t="s">
        <v>402</v>
      </c>
    </row>
    <row r="87">
      <c r="A87" s="1" t="s">
        <v>406</v>
      </c>
      <c r="B87" s="1">
        <v>5.51721831E8</v>
      </c>
      <c r="D87" s="1">
        <v>184133.0</v>
      </c>
      <c r="E87" s="1">
        <v>240094.0</v>
      </c>
      <c r="F87" s="1">
        <v>1805.23</v>
      </c>
      <c r="G87" s="1">
        <v>47.44</v>
      </c>
      <c r="H87" s="1">
        <v>274.0</v>
      </c>
      <c r="I87" s="1">
        <v>6.0</v>
      </c>
      <c r="J87" s="1">
        <v>6.0</v>
      </c>
      <c r="K87" s="1">
        <v>14.0</v>
      </c>
      <c r="L87" s="1" t="b">
        <v>1</v>
      </c>
      <c r="M87" s="1" t="b">
        <v>0</v>
      </c>
      <c r="N87" s="1" t="b">
        <v>0</v>
      </c>
      <c r="O87" s="1" t="b">
        <v>1</v>
      </c>
      <c r="P87" s="1" t="b">
        <v>1</v>
      </c>
      <c r="Q87" s="1" t="b">
        <v>1</v>
      </c>
      <c r="R87" s="1" t="b">
        <v>1</v>
      </c>
      <c r="S87" s="1" t="s">
        <v>63</v>
      </c>
      <c r="T87" s="1" t="s">
        <v>64</v>
      </c>
      <c r="U87" s="1" t="s">
        <v>65</v>
      </c>
      <c r="V87" s="1">
        <v>5.0</v>
      </c>
      <c r="W87" s="1">
        <v>24.0</v>
      </c>
      <c r="X87" s="1">
        <v>4.0</v>
      </c>
      <c r="Y87" s="5">
        <v>46193.0</v>
      </c>
      <c r="Z87" s="1" t="s">
        <v>66</v>
      </c>
      <c r="AA87" s="1" t="b">
        <v>1</v>
      </c>
      <c r="AB87" s="1">
        <v>1226.0</v>
      </c>
      <c r="AC87" s="1" t="b">
        <v>0</v>
      </c>
      <c r="AD87" s="1">
        <v>102.0</v>
      </c>
      <c r="AE87" s="1">
        <v>19.0</v>
      </c>
      <c r="AF87" s="2">
        <v>46156.0</v>
      </c>
      <c r="AG87" s="1" t="s">
        <v>67</v>
      </c>
      <c r="AH87" s="1" t="s">
        <v>76</v>
      </c>
      <c r="AI87" s="1" t="s">
        <v>76</v>
      </c>
      <c r="AJ87" s="1" t="s">
        <v>70</v>
      </c>
      <c r="AK87" s="1">
        <v>32550.0</v>
      </c>
      <c r="AL87" s="1" t="s">
        <v>71</v>
      </c>
      <c r="AM87" s="1" t="s">
        <v>72</v>
      </c>
      <c r="AN87" s="3" t="s">
        <v>407</v>
      </c>
      <c r="AO87" s="3" t="s">
        <v>408</v>
      </c>
      <c r="AP87" s="1" t="s">
        <v>409</v>
      </c>
      <c r="AQ87" s="1">
        <v>4067795.0</v>
      </c>
      <c r="AR87" s="1">
        <v>30.3723</v>
      </c>
      <c r="AS87" s="1">
        <v>-86.33939</v>
      </c>
      <c r="AT87" s="1">
        <v>58.77</v>
      </c>
      <c r="AU87" s="4">
        <f t="shared" si="16"/>
        <v>239740.3426</v>
      </c>
      <c r="AV87" s="1">
        <v>-11.33</v>
      </c>
      <c r="AW87" s="4">
        <f>IFERROR(($AU56-D56)/$AU56,0)</f>
        <v>-0.1867214209</v>
      </c>
      <c r="AX87" s="4">
        <f>$AU56-D56</f>
        <v>-44764.65741</v>
      </c>
      <c r="AY87" s="1">
        <v>55961.0</v>
      </c>
      <c r="AZ87" s="1" t="s">
        <v>409</v>
      </c>
      <c r="BA87" s="1" t="s">
        <v>406</v>
      </c>
    </row>
    <row r="88">
      <c r="A88" s="1" t="s">
        <v>410</v>
      </c>
      <c r="B88" s="1">
        <v>2.21549288E8</v>
      </c>
      <c r="D88" s="1">
        <v>129313.0</v>
      </c>
      <c r="E88" s="1">
        <v>212708.0</v>
      </c>
      <c r="F88" s="1">
        <v>2639.04</v>
      </c>
      <c r="G88" s="1">
        <v>39.2</v>
      </c>
      <c r="H88" s="1">
        <v>180.0</v>
      </c>
      <c r="I88" s="1">
        <v>6.0</v>
      </c>
      <c r="J88" s="1">
        <v>6.0</v>
      </c>
      <c r="K88" s="1">
        <v>16.0</v>
      </c>
      <c r="L88" s="1" t="b">
        <v>1</v>
      </c>
      <c r="M88" s="1" t="b">
        <v>0</v>
      </c>
      <c r="N88" s="1" t="b">
        <v>0</v>
      </c>
      <c r="O88" s="1" t="b">
        <v>1</v>
      </c>
      <c r="P88" s="1" t="b">
        <v>1</v>
      </c>
      <c r="Q88" s="1" t="b">
        <v>0</v>
      </c>
      <c r="R88" s="1" t="b">
        <v>1</v>
      </c>
      <c r="S88" s="1" t="s">
        <v>63</v>
      </c>
      <c r="T88" s="1" t="s">
        <v>64</v>
      </c>
      <c r="U88" s="1" t="s">
        <v>65</v>
      </c>
      <c r="V88" s="1">
        <v>5.0</v>
      </c>
      <c r="W88" s="1">
        <v>2.0</v>
      </c>
      <c r="X88" s="1">
        <v>2.0</v>
      </c>
      <c r="Y88" s="5">
        <v>46193.0</v>
      </c>
      <c r="Z88" s="1" t="s">
        <v>66</v>
      </c>
      <c r="AA88" s="1" t="b">
        <v>1</v>
      </c>
      <c r="AB88" s="1">
        <v>800.0</v>
      </c>
      <c r="AC88" s="1" t="b">
        <v>0</v>
      </c>
      <c r="AD88" s="1">
        <v>49.0</v>
      </c>
      <c r="AE88" s="1">
        <v>11.0</v>
      </c>
      <c r="AF88" s="2">
        <v>45994.0</v>
      </c>
      <c r="AG88" s="1" t="s">
        <v>67</v>
      </c>
      <c r="AH88" s="1" t="s">
        <v>68</v>
      </c>
      <c r="AI88" s="1" t="s">
        <v>69</v>
      </c>
      <c r="AJ88" s="1" t="s">
        <v>70</v>
      </c>
      <c r="AK88" s="1">
        <v>32413.0</v>
      </c>
      <c r="AL88" s="1" t="s">
        <v>71</v>
      </c>
      <c r="AM88" s="1" t="s">
        <v>72</v>
      </c>
      <c r="AN88" s="3" t="s">
        <v>411</v>
      </c>
      <c r="AO88" s="3" t="s">
        <v>412</v>
      </c>
      <c r="AP88" s="1" t="s">
        <v>413</v>
      </c>
      <c r="AR88" s="1">
        <v>30.2840172</v>
      </c>
      <c r="AS88" s="1">
        <v>-86.0163139</v>
      </c>
      <c r="AT88" s="1">
        <v>54.76</v>
      </c>
      <c r="AU88" s="4">
        <f>AVERAGE($D$2:$D$1233)</f>
        <v>239740.3426</v>
      </c>
      <c r="AV88" s="1">
        <v>-15.56</v>
      </c>
      <c r="AW88" s="4">
        <f>IFERROR(($AU1128-D1128)/$AU1128,0)</f>
        <v>0</v>
      </c>
      <c r="AX88" s="4">
        <f>$AU1128-D1128</f>
        <v>0</v>
      </c>
      <c r="AY88" s="1">
        <v>83395.0</v>
      </c>
      <c r="AZ88" s="1" t="s">
        <v>413</v>
      </c>
      <c r="BA88" s="1" t="s">
        <v>410</v>
      </c>
    </row>
    <row r="89">
      <c r="A89" s="1" t="s">
        <v>414</v>
      </c>
      <c r="B89" s="1">
        <v>5.930048E8</v>
      </c>
      <c r="D89" s="1">
        <v>150639.0</v>
      </c>
      <c r="E89" s="1">
        <v>212054.0</v>
      </c>
      <c r="F89" s="1">
        <v>1476.85</v>
      </c>
      <c r="G89" s="1">
        <v>41.13</v>
      </c>
      <c r="H89" s="1">
        <v>262.0</v>
      </c>
      <c r="I89" s="1">
        <v>6.0</v>
      </c>
      <c r="J89" s="1">
        <v>7.0</v>
      </c>
      <c r="K89" s="1">
        <v>16.0</v>
      </c>
      <c r="L89" s="1" t="b">
        <v>1</v>
      </c>
      <c r="M89" s="1" t="b">
        <v>0</v>
      </c>
      <c r="N89" s="1" t="b">
        <v>1</v>
      </c>
      <c r="O89" s="1" t="b">
        <v>1</v>
      </c>
      <c r="P89" s="1" t="b">
        <v>1</v>
      </c>
      <c r="Q89" s="1" t="b">
        <v>0</v>
      </c>
      <c r="R89" s="1" t="b">
        <v>1</v>
      </c>
      <c r="S89" s="1" t="s">
        <v>63</v>
      </c>
      <c r="T89" s="1" t="s">
        <v>259</v>
      </c>
      <c r="U89" s="1" t="s">
        <v>65</v>
      </c>
      <c r="V89" s="1">
        <v>4.85</v>
      </c>
      <c r="W89" s="1">
        <v>38.0</v>
      </c>
      <c r="X89" s="1">
        <v>3.0</v>
      </c>
      <c r="Y89" s="1">
        <v>1.0</v>
      </c>
      <c r="Z89" s="1" t="s">
        <v>66</v>
      </c>
      <c r="AA89" s="1" t="b">
        <v>1</v>
      </c>
      <c r="AB89" s="1">
        <v>718.0</v>
      </c>
      <c r="AC89" s="1" t="b">
        <v>1</v>
      </c>
      <c r="AD89" s="1">
        <v>102.0</v>
      </c>
      <c r="AE89" s="1">
        <v>27.0</v>
      </c>
      <c r="AF89" s="2">
        <v>46155.0</v>
      </c>
      <c r="AG89" s="1" t="s">
        <v>92</v>
      </c>
      <c r="AH89" s="1" t="s">
        <v>93</v>
      </c>
      <c r="AI89" s="1" t="s">
        <v>93</v>
      </c>
      <c r="AJ89" s="1" t="s">
        <v>95</v>
      </c>
      <c r="AK89" s="1">
        <v>31522.0</v>
      </c>
      <c r="AL89" s="1" t="s">
        <v>71</v>
      </c>
      <c r="AM89" s="1" t="s">
        <v>72</v>
      </c>
      <c r="AN89" s="3" t="s">
        <v>415</v>
      </c>
      <c r="AO89" s="3" t="s">
        <v>416</v>
      </c>
      <c r="AP89" s="1" t="s">
        <v>417</v>
      </c>
      <c r="AQ89" s="1">
        <v>4122658.0</v>
      </c>
      <c r="AR89" s="1">
        <v>31.1367</v>
      </c>
      <c r="AS89" s="1">
        <v>-81.4023</v>
      </c>
      <c r="AT89" s="1">
        <v>52.55</v>
      </c>
      <c r="AU89" s="4">
        <f>AVERAGE($D$2:$D$1001)</f>
        <v>239740.3426</v>
      </c>
      <c r="AV89" s="1">
        <v>-11.42</v>
      </c>
      <c r="AW89" s="4">
        <f>IFERROR(($AU542-D542)/$AU542,0)</f>
        <v>0</v>
      </c>
      <c r="AX89" s="4">
        <f>$AU542-D542</f>
        <v>0</v>
      </c>
      <c r="AY89" s="1">
        <v>61415.0</v>
      </c>
      <c r="AZ89" s="1" t="s">
        <v>417</v>
      </c>
      <c r="BA89" s="1" t="s">
        <v>414</v>
      </c>
    </row>
    <row r="90">
      <c r="A90" s="1" t="s">
        <v>418</v>
      </c>
      <c r="B90" s="1">
        <v>5.95332489E8</v>
      </c>
      <c r="D90" s="1">
        <v>155135.0</v>
      </c>
      <c r="E90" s="1">
        <v>215038.0</v>
      </c>
      <c r="F90" s="1">
        <v>1349.0</v>
      </c>
      <c r="G90" s="1">
        <v>42.28</v>
      </c>
      <c r="H90" s="1">
        <v>310.0</v>
      </c>
      <c r="I90" s="1">
        <v>5.0</v>
      </c>
      <c r="J90" s="1">
        <v>5.0</v>
      </c>
      <c r="K90" s="1">
        <v>14.0</v>
      </c>
      <c r="L90" s="1" t="b">
        <v>1</v>
      </c>
      <c r="M90" s="1" t="b">
        <v>0</v>
      </c>
      <c r="N90" s="1" t="b">
        <v>0</v>
      </c>
      <c r="O90" s="1" t="b">
        <v>1</v>
      </c>
      <c r="P90" s="1" t="b">
        <v>1</v>
      </c>
      <c r="Q90" s="1" t="b">
        <v>0</v>
      </c>
      <c r="R90" s="1" t="b">
        <v>1</v>
      </c>
      <c r="S90" s="1" t="s">
        <v>63</v>
      </c>
      <c r="T90" s="1" t="s">
        <v>64</v>
      </c>
      <c r="U90" s="1" t="s">
        <v>65</v>
      </c>
      <c r="V90" s="1">
        <v>5.0</v>
      </c>
      <c r="W90" s="1">
        <v>15.0</v>
      </c>
      <c r="X90" s="1">
        <v>7.0</v>
      </c>
      <c r="Y90" s="1">
        <v>1.0</v>
      </c>
      <c r="Z90" s="1" t="s">
        <v>66</v>
      </c>
      <c r="AA90" s="1" t="b">
        <v>0</v>
      </c>
      <c r="AB90" s="1">
        <v>200.0</v>
      </c>
      <c r="AC90" s="1" t="b">
        <v>0</v>
      </c>
      <c r="AD90" s="1">
        <v>115.0</v>
      </c>
      <c r="AE90" s="1">
        <v>19.0</v>
      </c>
      <c r="AF90" s="2">
        <v>46153.0</v>
      </c>
      <c r="AG90" s="1" t="s">
        <v>264</v>
      </c>
      <c r="AH90" s="1" t="s">
        <v>265</v>
      </c>
      <c r="AI90" s="1" t="s">
        <v>266</v>
      </c>
      <c r="AJ90" s="1" t="s">
        <v>70</v>
      </c>
      <c r="AK90" s="1">
        <v>32328.0</v>
      </c>
      <c r="AL90" s="1" t="s">
        <v>71</v>
      </c>
      <c r="AM90" s="1" t="s">
        <v>72</v>
      </c>
      <c r="AN90" s="3" t="s">
        <v>419</v>
      </c>
      <c r="AO90" s="3" t="s">
        <v>420</v>
      </c>
      <c r="AP90" s="1" t="s">
        <v>421</v>
      </c>
      <c r="AQ90" s="1">
        <v>4093207.0</v>
      </c>
      <c r="AR90" s="1">
        <v>29.6467</v>
      </c>
      <c r="AS90" s="1">
        <v>-84.8949</v>
      </c>
      <c r="AT90" s="1">
        <v>59.52</v>
      </c>
      <c r="AU90" s="4">
        <f>AVERAGE($D$2:$D$378)</f>
        <v>239740.3426</v>
      </c>
      <c r="AV90" s="1">
        <v>-17.24</v>
      </c>
      <c r="AW90" s="4">
        <f>IFERROR(($AU20-D20)/$AU20,0)</f>
        <v>-0.08854854038</v>
      </c>
      <c r="AX90" s="4">
        <f>$AU20-D20</f>
        <v>-21228.65741</v>
      </c>
      <c r="AY90" s="1">
        <v>59903.0</v>
      </c>
      <c r="AZ90" s="1" t="s">
        <v>421</v>
      </c>
      <c r="BA90" s="1" t="s">
        <v>418</v>
      </c>
    </row>
    <row r="91">
      <c r="A91" s="1" t="s">
        <v>422</v>
      </c>
      <c r="B91" s="1">
        <v>4.42794671E8</v>
      </c>
      <c r="D91" s="1">
        <v>163876.0</v>
      </c>
      <c r="E91" s="1">
        <v>211911.0</v>
      </c>
      <c r="F91" s="1">
        <v>1905.53</v>
      </c>
      <c r="G91" s="1">
        <v>43.22</v>
      </c>
      <c r="H91" s="1">
        <v>302.0</v>
      </c>
      <c r="I91" s="1">
        <v>8.0</v>
      </c>
      <c r="J91" s="1">
        <v>8.0</v>
      </c>
      <c r="K91" s="1">
        <v>16.0</v>
      </c>
      <c r="L91" s="1" t="b">
        <v>1</v>
      </c>
      <c r="M91" s="1" t="b">
        <v>0</v>
      </c>
      <c r="N91" s="1" t="b">
        <v>1</v>
      </c>
      <c r="O91" s="1" t="b">
        <v>1</v>
      </c>
      <c r="P91" s="1" t="b">
        <v>1</v>
      </c>
      <c r="Q91" s="1" t="b">
        <v>1</v>
      </c>
      <c r="R91" s="1" t="b">
        <v>1</v>
      </c>
      <c r="S91" s="1" t="s">
        <v>63</v>
      </c>
      <c r="T91" s="1" t="s">
        <v>64</v>
      </c>
      <c r="U91" s="1" t="s">
        <v>65</v>
      </c>
      <c r="V91" s="1">
        <v>5.0</v>
      </c>
      <c r="W91" s="1">
        <v>7.0</v>
      </c>
      <c r="X91" s="1">
        <v>4.0</v>
      </c>
      <c r="Y91" s="1">
        <v>1.0</v>
      </c>
      <c r="Z91" s="1" t="s">
        <v>66</v>
      </c>
      <c r="AA91" s="1" t="b">
        <v>0</v>
      </c>
      <c r="AB91" s="1">
        <v>799.0</v>
      </c>
      <c r="AC91" s="1" t="b">
        <v>1</v>
      </c>
      <c r="AD91" s="1">
        <v>86.0</v>
      </c>
      <c r="AE91" s="1">
        <v>17.0</v>
      </c>
      <c r="AF91" s="2">
        <v>46155.0</v>
      </c>
      <c r="AG91" s="1" t="s">
        <v>67</v>
      </c>
      <c r="AH91" s="1" t="s">
        <v>76</v>
      </c>
      <c r="AI91" s="1" t="s">
        <v>76</v>
      </c>
      <c r="AJ91" s="1" t="s">
        <v>70</v>
      </c>
      <c r="AK91" s="1">
        <v>32550.0</v>
      </c>
      <c r="AL91" s="1" t="s">
        <v>71</v>
      </c>
      <c r="AM91" s="1" t="s">
        <v>72</v>
      </c>
      <c r="AN91" s="3" t="s">
        <v>423</v>
      </c>
      <c r="AO91" s="3" t="s">
        <v>424</v>
      </c>
      <c r="AP91" s="1" t="s">
        <v>425</v>
      </c>
      <c r="AQ91" s="1">
        <v>4165094.0</v>
      </c>
      <c r="AR91" s="1">
        <v>30.3787</v>
      </c>
      <c r="AS91" s="1">
        <v>-86.377</v>
      </c>
      <c r="AT91" s="1">
        <v>57.2</v>
      </c>
      <c r="AU91" s="4">
        <f>AVERAGE($D$2:$D$554)</f>
        <v>239740.3426</v>
      </c>
      <c r="AV91" s="1">
        <v>-13.98</v>
      </c>
      <c r="AW91" s="4">
        <f>IFERROR(($AU70-D70)/$AU70,0)</f>
        <v>-0.3115689942</v>
      </c>
      <c r="AX91" s="4">
        <f>$AU70-D70</f>
        <v>-74695.65741</v>
      </c>
      <c r="AY91" s="1">
        <v>48035.0</v>
      </c>
      <c r="AZ91" s="1" t="s">
        <v>425</v>
      </c>
      <c r="BA91" s="1" t="s">
        <v>422</v>
      </c>
    </row>
    <row r="92">
      <c r="A92" s="1" t="s">
        <v>426</v>
      </c>
      <c r="B92" s="1" t="s">
        <v>236</v>
      </c>
      <c r="D92" s="1">
        <v>170442.0</v>
      </c>
      <c r="E92" s="1">
        <v>263895.0</v>
      </c>
      <c r="F92" s="1">
        <v>2622.18</v>
      </c>
      <c r="G92" s="1">
        <v>37.57</v>
      </c>
      <c r="H92" s="1">
        <v>280.0</v>
      </c>
      <c r="I92" s="1">
        <v>8.0</v>
      </c>
      <c r="J92" s="1">
        <v>9.0</v>
      </c>
      <c r="K92" s="1">
        <v>16.0</v>
      </c>
      <c r="L92" s="1" t="b">
        <v>1</v>
      </c>
      <c r="M92" s="1" t="b">
        <v>0</v>
      </c>
      <c r="N92" s="1" t="b">
        <v>0</v>
      </c>
      <c r="O92" s="1" t="b">
        <v>1</v>
      </c>
      <c r="P92" s="1" t="b">
        <v>1</v>
      </c>
      <c r="Q92" s="1" t="b">
        <v>0</v>
      </c>
      <c r="R92" s="1" t="b">
        <v>1</v>
      </c>
      <c r="S92" s="1" t="s">
        <v>63</v>
      </c>
      <c r="T92" s="1" t="s">
        <v>427</v>
      </c>
      <c r="U92" s="1" t="s">
        <v>330</v>
      </c>
      <c r="V92" s="1">
        <v>0.0</v>
      </c>
      <c r="W92" s="1">
        <v>0.0</v>
      </c>
      <c r="X92" s="1">
        <v>7.0</v>
      </c>
      <c r="Y92" s="5">
        <v>46193.0</v>
      </c>
      <c r="Z92" s="1" t="s">
        <v>66</v>
      </c>
      <c r="AA92" s="1" t="b">
        <v>0</v>
      </c>
      <c r="AB92" s="1">
        <v>1222.0</v>
      </c>
      <c r="AC92" s="1" t="b">
        <v>0</v>
      </c>
      <c r="AD92" s="1">
        <v>65.0</v>
      </c>
      <c r="AE92" s="1">
        <v>5.0</v>
      </c>
      <c r="AF92" s="2">
        <v>46075.0</v>
      </c>
      <c r="AG92" s="1" t="s">
        <v>169</v>
      </c>
      <c r="AH92" s="1" t="s">
        <v>237</v>
      </c>
      <c r="AI92" s="1" t="s">
        <v>237</v>
      </c>
      <c r="AJ92" s="1" t="s">
        <v>70</v>
      </c>
      <c r="AK92" s="1">
        <v>33036.0</v>
      </c>
      <c r="AL92" s="1" t="s">
        <v>71</v>
      </c>
      <c r="AM92" s="1" t="s">
        <v>72</v>
      </c>
      <c r="AN92" s="3" t="s">
        <v>428</v>
      </c>
      <c r="AO92" s="3" t="s">
        <v>429</v>
      </c>
      <c r="AP92" s="1" t="s">
        <v>430</v>
      </c>
      <c r="AQ92" s="1">
        <v>4192159.0</v>
      </c>
      <c r="AR92" s="1">
        <v>24.9069</v>
      </c>
      <c r="AS92" s="1">
        <v>-80.6461</v>
      </c>
      <c r="AT92" s="1">
        <v>53.52</v>
      </c>
      <c r="AU92" s="4">
        <f>AVERAGE($D$2:$D$191)</f>
        <v>239740.3426</v>
      </c>
      <c r="AV92" s="1">
        <v>-15.95</v>
      </c>
      <c r="AW92" s="4">
        <f>IFERROR(($AU19-D19)/$AU19,0)</f>
        <v>0.4487035491</v>
      </c>
      <c r="AX92" s="4">
        <f>$AU19-D19</f>
        <v>107572.3426</v>
      </c>
      <c r="AY92" s="1">
        <v>93453.0</v>
      </c>
      <c r="AZ92" s="1" t="s">
        <v>430</v>
      </c>
      <c r="BA92" s="1" t="s">
        <v>426</v>
      </c>
    </row>
    <row r="93">
      <c r="A93" s="1" t="s">
        <v>431</v>
      </c>
      <c r="B93" s="1">
        <v>2.23724907E8</v>
      </c>
      <c r="D93" s="1">
        <v>164536.0</v>
      </c>
      <c r="E93" s="1">
        <v>416458.0</v>
      </c>
      <c r="F93" s="1">
        <v>2109.44</v>
      </c>
      <c r="G93" s="1">
        <v>54.17</v>
      </c>
      <c r="H93" s="1">
        <v>150.0</v>
      </c>
      <c r="I93" s="1">
        <v>9.0</v>
      </c>
      <c r="J93" s="1">
        <v>8.0</v>
      </c>
      <c r="K93" s="1">
        <v>16.0</v>
      </c>
      <c r="L93" s="1" t="b">
        <v>1</v>
      </c>
      <c r="M93" s="1" t="b">
        <v>0</v>
      </c>
      <c r="N93" s="1" t="b">
        <v>0</v>
      </c>
      <c r="O93" s="1" t="b">
        <v>1</v>
      </c>
      <c r="P93" s="1" t="b">
        <v>1</v>
      </c>
      <c r="Q93" s="1" t="b">
        <v>1</v>
      </c>
      <c r="R93" s="1" t="b">
        <v>1</v>
      </c>
      <c r="S93" s="1" t="s">
        <v>63</v>
      </c>
      <c r="T93" s="1" t="s">
        <v>64</v>
      </c>
      <c r="U93" s="1" t="s">
        <v>65</v>
      </c>
      <c r="V93" s="1">
        <v>4.95</v>
      </c>
      <c r="W93" s="1">
        <v>12.0</v>
      </c>
      <c r="X93" s="1">
        <v>4.0</v>
      </c>
      <c r="Y93" s="5">
        <v>46058.0</v>
      </c>
      <c r="Z93" s="1" t="s">
        <v>66</v>
      </c>
      <c r="AA93" s="1" t="b">
        <v>1</v>
      </c>
      <c r="AB93" s="1">
        <v>801.0</v>
      </c>
      <c r="AC93" s="1" t="b">
        <v>0</v>
      </c>
      <c r="AD93" s="1">
        <v>78.0</v>
      </c>
      <c r="AE93" s="1">
        <v>13.0</v>
      </c>
      <c r="AF93" s="2">
        <v>46155.0</v>
      </c>
      <c r="AG93" s="1" t="s">
        <v>264</v>
      </c>
      <c r="AH93" s="1" t="s">
        <v>265</v>
      </c>
      <c r="AI93" s="1" t="s">
        <v>266</v>
      </c>
      <c r="AJ93" s="1" t="s">
        <v>70</v>
      </c>
      <c r="AK93" s="1">
        <v>32328.0</v>
      </c>
      <c r="AL93" s="1" t="s">
        <v>71</v>
      </c>
      <c r="AM93" s="1" t="s">
        <v>72</v>
      </c>
      <c r="AN93" s="3" t="s">
        <v>432</v>
      </c>
      <c r="AO93" s="3" t="s">
        <v>433</v>
      </c>
      <c r="AP93" s="1" t="s">
        <v>434</v>
      </c>
      <c r="AQ93" s="1">
        <v>3178524.0</v>
      </c>
      <c r="AR93" s="1">
        <v>29.6518</v>
      </c>
      <c r="AS93" s="1">
        <v>-84.8862</v>
      </c>
      <c r="AT93" s="1">
        <v>53.72</v>
      </c>
      <c r="AU93" s="4">
        <f>AVERAGE($D$2:$D$378)</f>
        <v>239740.3426</v>
      </c>
      <c r="AV93" s="1">
        <v>0.45</v>
      </c>
      <c r="AW93" s="4">
        <f>IFERROR(($AU18-D18)/$AU18,0)</f>
        <v>0.1161395796</v>
      </c>
      <c r="AX93" s="4">
        <f>$AU18-D18</f>
        <v>27843.34259</v>
      </c>
      <c r="AY93" s="1">
        <v>251922.0</v>
      </c>
      <c r="AZ93" s="1" t="s">
        <v>434</v>
      </c>
      <c r="BA93" s="1" t="s">
        <v>431</v>
      </c>
    </row>
    <row r="94">
      <c r="A94" s="1" t="s">
        <v>435</v>
      </c>
      <c r="B94" s="1">
        <v>4.84413383E8</v>
      </c>
      <c r="D94" s="1">
        <v>113207.0</v>
      </c>
      <c r="E94" s="1">
        <v>178717.0</v>
      </c>
      <c r="F94" s="1">
        <v>1179.24</v>
      </c>
      <c r="G94" s="1">
        <v>39.83</v>
      </c>
      <c r="H94" s="1">
        <v>247.0</v>
      </c>
      <c r="I94" s="1">
        <v>6.0</v>
      </c>
      <c r="J94" s="1">
        <v>4.0</v>
      </c>
      <c r="K94" s="1">
        <v>16.0</v>
      </c>
      <c r="L94" s="1" t="b">
        <v>1</v>
      </c>
      <c r="M94" s="1" t="b">
        <v>1</v>
      </c>
      <c r="N94" s="1" t="b">
        <v>0</v>
      </c>
      <c r="O94" s="1" t="b">
        <v>1</v>
      </c>
      <c r="P94" s="1" t="b">
        <v>1</v>
      </c>
      <c r="Q94" s="1" t="b">
        <v>0</v>
      </c>
      <c r="R94" s="1" t="b">
        <v>1</v>
      </c>
      <c r="S94" s="1" t="s">
        <v>63</v>
      </c>
      <c r="T94" s="1" t="s">
        <v>64</v>
      </c>
      <c r="U94" s="1" t="s">
        <v>65</v>
      </c>
      <c r="V94" s="1">
        <v>5.0</v>
      </c>
      <c r="W94" s="1">
        <v>55.0</v>
      </c>
      <c r="X94" s="1">
        <v>2.0</v>
      </c>
      <c r="Y94" s="5">
        <v>46058.0</v>
      </c>
      <c r="Z94" s="1" t="s">
        <v>66</v>
      </c>
      <c r="AA94" s="1" t="b">
        <v>1</v>
      </c>
      <c r="AB94" s="1">
        <v>364.0</v>
      </c>
      <c r="AC94" s="1" t="b">
        <v>1</v>
      </c>
      <c r="AD94" s="1">
        <v>96.0</v>
      </c>
      <c r="AE94" s="1">
        <v>35.0</v>
      </c>
      <c r="AF94" s="2">
        <v>46153.0</v>
      </c>
      <c r="AG94" s="1" t="s">
        <v>102</v>
      </c>
      <c r="AH94" s="1" t="s">
        <v>103</v>
      </c>
      <c r="AI94" s="1" t="s">
        <v>103</v>
      </c>
      <c r="AJ94" s="1" t="s">
        <v>104</v>
      </c>
      <c r="AK94" s="1">
        <v>77650.0</v>
      </c>
      <c r="AL94" s="1" t="s">
        <v>71</v>
      </c>
      <c r="AM94" s="1" t="s">
        <v>72</v>
      </c>
      <c r="AN94" s="3" t="s">
        <v>436</v>
      </c>
      <c r="AO94" s="3" t="s">
        <v>437</v>
      </c>
      <c r="AP94" s="1" t="s">
        <v>438</v>
      </c>
      <c r="AQ94" s="1">
        <v>4410247.0</v>
      </c>
      <c r="AR94" s="1">
        <v>29.4726167079</v>
      </c>
      <c r="AS94" s="1">
        <v>-94.5898699225</v>
      </c>
      <c r="AT94" s="1">
        <v>38.4</v>
      </c>
      <c r="AU94" s="4">
        <f>AVERAGE($D$2:$D$830)</f>
        <v>239740.3426</v>
      </c>
      <c r="AV94" s="1">
        <v>1.43</v>
      </c>
      <c r="AW94" s="4">
        <f>IFERROR(($AU94-D94)/$AU94,0)</f>
        <v>0.5277932835</v>
      </c>
      <c r="AX94" s="4">
        <f>$AU94-D94</f>
        <v>126533.3426</v>
      </c>
      <c r="AY94" s="1">
        <v>65510.0</v>
      </c>
      <c r="AZ94" s="1" t="s">
        <v>438</v>
      </c>
      <c r="BA94" s="1" t="s">
        <v>435</v>
      </c>
    </row>
    <row r="95">
      <c r="A95" s="1" t="s">
        <v>439</v>
      </c>
      <c r="B95" s="1">
        <v>5.02313754E8</v>
      </c>
      <c r="D95" s="1">
        <v>177129.0</v>
      </c>
      <c r="E95" s="1">
        <v>457142.0</v>
      </c>
      <c r="F95" s="1">
        <v>1686.94</v>
      </c>
      <c r="G95" s="1">
        <v>67.31</v>
      </c>
      <c r="H95" s="1">
        <v>156.0</v>
      </c>
      <c r="I95" s="1">
        <v>9.0</v>
      </c>
      <c r="J95" s="1">
        <v>9.0</v>
      </c>
      <c r="K95" s="1">
        <v>16.0</v>
      </c>
      <c r="L95" s="1" t="b">
        <v>1</v>
      </c>
      <c r="M95" s="1" t="b">
        <v>0</v>
      </c>
      <c r="N95" s="1" t="b">
        <v>0</v>
      </c>
      <c r="O95" s="1" t="b">
        <v>1</v>
      </c>
      <c r="P95" s="1" t="b">
        <v>1</v>
      </c>
      <c r="Q95" s="1" t="b">
        <v>0</v>
      </c>
      <c r="R95" s="1" t="b">
        <v>0</v>
      </c>
      <c r="S95" s="1" t="s">
        <v>63</v>
      </c>
      <c r="T95" s="1" t="s">
        <v>64</v>
      </c>
      <c r="U95" s="1" t="s">
        <v>65</v>
      </c>
      <c r="V95" s="1">
        <v>4.7</v>
      </c>
      <c r="W95" s="1">
        <v>3.0</v>
      </c>
      <c r="X95" s="1">
        <v>3.0</v>
      </c>
      <c r="Y95" s="5">
        <v>46058.0</v>
      </c>
      <c r="Z95" s="1" t="s">
        <v>66</v>
      </c>
      <c r="AA95" s="1" t="b">
        <v>1</v>
      </c>
      <c r="AB95" s="1">
        <v>1450.0</v>
      </c>
      <c r="AC95" s="1" t="b">
        <v>1</v>
      </c>
      <c r="AD95" s="1">
        <v>105.0</v>
      </c>
      <c r="AE95" s="1">
        <v>26.0</v>
      </c>
      <c r="AF95" s="2">
        <v>46155.0</v>
      </c>
      <c r="AG95" s="1" t="s">
        <v>92</v>
      </c>
      <c r="AH95" s="1" t="s">
        <v>440</v>
      </c>
      <c r="AI95" s="1" t="s">
        <v>440</v>
      </c>
      <c r="AJ95" s="1" t="s">
        <v>70</v>
      </c>
      <c r="AK95" s="1">
        <v>32034.0</v>
      </c>
      <c r="AL95" s="1" t="s">
        <v>71</v>
      </c>
      <c r="AM95" s="1" t="s">
        <v>72</v>
      </c>
      <c r="AN95" s="3" t="s">
        <v>441</v>
      </c>
      <c r="AO95" s="3" t="s">
        <v>442</v>
      </c>
      <c r="AP95" s="1" t="s">
        <v>443</v>
      </c>
      <c r="AQ95" s="1">
        <v>4246325.0</v>
      </c>
      <c r="AR95" s="1">
        <v>30.6612</v>
      </c>
      <c r="AS95" s="1">
        <v>-81.4324</v>
      </c>
      <c r="AT95" s="1">
        <v>53.56</v>
      </c>
      <c r="AU95" s="4">
        <f>AVERAGE($D$2:$D$1001)</f>
        <v>239740.3426</v>
      </c>
      <c r="AV95" s="1">
        <v>13.75</v>
      </c>
      <c r="AW95" s="4">
        <f>IFERROR(($AU527-D527)/$AU527,0)</f>
        <v>0</v>
      </c>
      <c r="AX95" s="4">
        <f>$AU527-D527</f>
        <v>0</v>
      </c>
      <c r="AY95" s="1">
        <v>280013.0</v>
      </c>
      <c r="AZ95" s="1" t="s">
        <v>443</v>
      </c>
      <c r="BA95" s="1" t="s">
        <v>439</v>
      </c>
    </row>
    <row r="96">
      <c r="A96" s="1" t="s">
        <v>444</v>
      </c>
      <c r="B96" s="1">
        <v>4.39679356E8</v>
      </c>
      <c r="D96" s="1">
        <v>204479.0</v>
      </c>
      <c r="E96" s="1">
        <v>225807.0</v>
      </c>
      <c r="F96" s="1">
        <v>2555.99</v>
      </c>
      <c r="G96" s="1">
        <v>42.33</v>
      </c>
      <c r="H96" s="1">
        <v>258.0</v>
      </c>
      <c r="I96" s="1">
        <v>6.0</v>
      </c>
      <c r="J96" s="1">
        <v>5.0</v>
      </c>
      <c r="K96" s="1">
        <v>14.0</v>
      </c>
      <c r="L96" s="1" t="b">
        <v>1</v>
      </c>
      <c r="M96" s="1" t="b">
        <v>0</v>
      </c>
      <c r="N96" s="1" t="b">
        <v>0</v>
      </c>
      <c r="O96" s="1" t="b">
        <v>1</v>
      </c>
      <c r="P96" s="1" t="b">
        <v>0</v>
      </c>
      <c r="Q96" s="1" t="b">
        <v>0</v>
      </c>
      <c r="R96" s="1" t="b">
        <v>1</v>
      </c>
      <c r="S96" s="1" t="s">
        <v>63</v>
      </c>
      <c r="T96" s="1" t="s">
        <v>64</v>
      </c>
      <c r="U96" s="1" t="s">
        <v>65</v>
      </c>
      <c r="V96" s="1">
        <v>0.0</v>
      </c>
      <c r="W96" s="1">
        <v>0.0</v>
      </c>
      <c r="X96" s="1">
        <v>7.0</v>
      </c>
      <c r="Y96" s="5">
        <v>46193.0</v>
      </c>
      <c r="Z96" s="1" t="s">
        <v>66</v>
      </c>
      <c r="AA96" s="1" t="b">
        <v>0</v>
      </c>
      <c r="AB96" s="1">
        <v>1182.0</v>
      </c>
      <c r="AC96" s="1" t="b">
        <v>1</v>
      </c>
      <c r="AD96" s="1">
        <v>80.0</v>
      </c>
      <c r="AE96" s="1">
        <v>13.0</v>
      </c>
      <c r="AF96" s="2">
        <v>46128.0</v>
      </c>
      <c r="AG96" s="1" t="s">
        <v>67</v>
      </c>
      <c r="AH96" s="1" t="s">
        <v>68</v>
      </c>
      <c r="AI96" s="1" t="s">
        <v>69</v>
      </c>
      <c r="AJ96" s="1" t="s">
        <v>70</v>
      </c>
      <c r="AK96" s="1">
        <v>32413.0</v>
      </c>
      <c r="AL96" s="1" t="s">
        <v>71</v>
      </c>
      <c r="AM96" s="1" t="s">
        <v>72</v>
      </c>
      <c r="AN96" s="3" t="s">
        <v>445</v>
      </c>
      <c r="AO96" s="3" t="s">
        <v>446</v>
      </c>
      <c r="AP96" s="1" t="s">
        <v>447</v>
      </c>
      <c r="AQ96" s="1">
        <v>4115064.0</v>
      </c>
      <c r="AR96" s="1">
        <v>30.2759</v>
      </c>
      <c r="AS96" s="1">
        <v>-86.0106</v>
      </c>
      <c r="AT96" s="1">
        <v>54.76</v>
      </c>
      <c r="AU96" s="4">
        <f>AVERAGE($D$2:$D$1233)</f>
        <v>239740.3426</v>
      </c>
      <c r="AV96" s="1">
        <v>-12.43</v>
      </c>
      <c r="AW96" s="4">
        <f>IFERROR(($AU1082-D1082)/$AU1082,0)</f>
        <v>0</v>
      </c>
      <c r="AX96" s="4">
        <f>$AU1082-D1082</f>
        <v>0</v>
      </c>
      <c r="AY96" s="1">
        <v>21328.0</v>
      </c>
      <c r="AZ96" s="1" t="s">
        <v>447</v>
      </c>
      <c r="BA96" s="1" t="s">
        <v>444</v>
      </c>
    </row>
    <row r="97">
      <c r="A97" s="1" t="s">
        <v>448</v>
      </c>
      <c r="B97" s="1">
        <v>1.51947999E8</v>
      </c>
      <c r="D97" s="1">
        <v>430272.0</v>
      </c>
      <c r="E97" s="1">
        <v>459336.0</v>
      </c>
      <c r="F97" s="1">
        <v>4021.23</v>
      </c>
      <c r="G97" s="1">
        <v>40.38</v>
      </c>
      <c r="H97" s="1">
        <v>306.0</v>
      </c>
      <c r="I97" s="1">
        <v>13.0</v>
      </c>
      <c r="J97" s="1">
        <v>11.0</v>
      </c>
      <c r="K97" s="1">
        <v>16.0</v>
      </c>
      <c r="L97" s="1" t="b">
        <v>1</v>
      </c>
      <c r="M97" s="1" t="b">
        <v>1</v>
      </c>
      <c r="N97" s="1" t="b">
        <v>1</v>
      </c>
      <c r="O97" s="1" t="b">
        <v>1</v>
      </c>
      <c r="P97" s="1" t="b">
        <v>1</v>
      </c>
      <c r="Q97" s="1" t="b">
        <v>1</v>
      </c>
      <c r="R97" s="1" t="b">
        <v>1</v>
      </c>
      <c r="S97" s="1" t="s">
        <v>63</v>
      </c>
      <c r="T97" s="1" t="s">
        <v>64</v>
      </c>
      <c r="U97" s="1" t="s">
        <v>65</v>
      </c>
      <c r="V97" s="1">
        <v>0.0</v>
      </c>
      <c r="W97" s="1">
        <v>0.0</v>
      </c>
      <c r="X97" s="1">
        <v>3.0</v>
      </c>
      <c r="Y97" s="5">
        <v>46193.0</v>
      </c>
      <c r="Z97" s="1" t="s">
        <v>66</v>
      </c>
      <c r="AA97" s="1" t="b">
        <v>1</v>
      </c>
      <c r="AB97" s="1">
        <v>1750.0</v>
      </c>
      <c r="AC97" s="1" t="b">
        <v>1</v>
      </c>
      <c r="AD97" s="1">
        <v>107.0</v>
      </c>
      <c r="AE97" s="1">
        <v>26.0</v>
      </c>
      <c r="AF97" s="2">
        <v>46156.0</v>
      </c>
      <c r="AG97" s="1" t="s">
        <v>102</v>
      </c>
      <c r="AH97" s="1" t="s">
        <v>103</v>
      </c>
      <c r="AI97" s="1" t="s">
        <v>138</v>
      </c>
      <c r="AJ97" s="1" t="s">
        <v>104</v>
      </c>
      <c r="AK97" s="1">
        <v>77617.0</v>
      </c>
      <c r="AL97" s="1" t="s">
        <v>71</v>
      </c>
      <c r="AM97" s="1" t="s">
        <v>72</v>
      </c>
      <c r="AN97" s="3" t="s">
        <v>449</v>
      </c>
      <c r="AO97" s="3" t="s">
        <v>450</v>
      </c>
      <c r="AP97" s="1" t="s">
        <v>451</v>
      </c>
      <c r="AR97" s="1">
        <v>29.5012703907</v>
      </c>
      <c r="AS97" s="1">
        <v>-94.5143202009</v>
      </c>
      <c r="AT97" s="1">
        <v>47.56</v>
      </c>
      <c r="AU97" s="4">
        <f t="shared" ref="AU97:AU98" si="17">AVERAGE($D$2:$D$830)</f>
        <v>239740.3426</v>
      </c>
      <c r="AV97" s="1">
        <v>-7.18</v>
      </c>
      <c r="AW97" s="4">
        <f>IFERROR(($AU4-D4)/$AU4,0)</f>
        <v>-3.425896737</v>
      </c>
      <c r="AX97" s="4">
        <f>$AU4-D4</f>
        <v>-821325.6574</v>
      </c>
      <c r="AY97" s="1">
        <v>29064.0</v>
      </c>
      <c r="AZ97" s="1" t="s">
        <v>451</v>
      </c>
      <c r="BA97" s="1" t="s">
        <v>448</v>
      </c>
    </row>
    <row r="98">
      <c r="A98" s="1" t="s">
        <v>452</v>
      </c>
      <c r="B98" s="1">
        <v>2.7658418E8</v>
      </c>
      <c r="D98" s="1">
        <v>171288.0</v>
      </c>
      <c r="E98" s="1">
        <v>205167.0</v>
      </c>
      <c r="F98" s="1">
        <v>1747.84</v>
      </c>
      <c r="G98" s="1">
        <v>35.13</v>
      </c>
      <c r="H98" s="1">
        <v>300.0</v>
      </c>
      <c r="I98" s="1">
        <v>5.0</v>
      </c>
      <c r="J98" s="1">
        <v>5.0</v>
      </c>
      <c r="K98" s="1">
        <v>16.0</v>
      </c>
      <c r="L98" s="1" t="b">
        <v>1</v>
      </c>
      <c r="M98" s="1" t="b">
        <v>1</v>
      </c>
      <c r="N98" s="1" t="b">
        <v>1</v>
      </c>
      <c r="O98" s="1" t="b">
        <v>1</v>
      </c>
      <c r="P98" s="1" t="b">
        <v>1</v>
      </c>
      <c r="Q98" s="1" t="b">
        <v>0</v>
      </c>
      <c r="R98" s="1" t="b">
        <v>1</v>
      </c>
      <c r="S98" s="1" t="s">
        <v>63</v>
      </c>
      <c r="T98" s="1" t="s">
        <v>64</v>
      </c>
      <c r="U98" s="1" t="s">
        <v>65</v>
      </c>
      <c r="V98" s="1">
        <v>5.0</v>
      </c>
      <c r="W98" s="1">
        <v>82.0</v>
      </c>
      <c r="X98" s="1">
        <v>2.0</v>
      </c>
      <c r="Y98" s="1">
        <v>1.0</v>
      </c>
      <c r="Z98" s="1" t="s">
        <v>66</v>
      </c>
      <c r="AA98" s="1" t="b">
        <v>0</v>
      </c>
      <c r="AB98" s="1">
        <v>500.0</v>
      </c>
      <c r="AC98" s="1" t="b">
        <v>0</v>
      </c>
      <c r="AD98" s="1">
        <v>98.0</v>
      </c>
      <c r="AE98" s="1">
        <v>26.0</v>
      </c>
      <c r="AF98" s="2">
        <v>46159.0</v>
      </c>
      <c r="AG98" s="1" t="s">
        <v>102</v>
      </c>
      <c r="AH98" s="1" t="s">
        <v>102</v>
      </c>
      <c r="AI98" s="1" t="s">
        <v>102</v>
      </c>
      <c r="AJ98" s="1" t="s">
        <v>104</v>
      </c>
      <c r="AK98" s="1">
        <v>77554.0</v>
      </c>
      <c r="AL98" s="1" t="s">
        <v>71</v>
      </c>
      <c r="AM98" s="1" t="s">
        <v>72</v>
      </c>
      <c r="AN98" s="3" t="s">
        <v>453</v>
      </c>
      <c r="AO98" s="3" t="s">
        <v>454</v>
      </c>
      <c r="AP98" s="1" t="s">
        <v>455</v>
      </c>
      <c r="AQ98" s="1" t="s">
        <v>456</v>
      </c>
      <c r="AR98" s="1">
        <v>29.1052899125</v>
      </c>
      <c r="AS98" s="1">
        <v>-95.0926153368</v>
      </c>
      <c r="AT98" s="1">
        <v>45.23</v>
      </c>
      <c r="AU98" s="4">
        <f t="shared" si="17"/>
        <v>239740.3426</v>
      </c>
      <c r="AV98" s="1">
        <v>-10.1</v>
      </c>
      <c r="AW98" s="4">
        <f>IFERROR(($AU35-D35)/$AU35,0)</f>
        <v>0.3930141318</v>
      </c>
      <c r="AX98" s="4">
        <f>$AU35-D35</f>
        <v>94221.34259</v>
      </c>
      <c r="AY98" s="1">
        <v>33879.0</v>
      </c>
      <c r="AZ98" s="1" t="s">
        <v>455</v>
      </c>
      <c r="BA98" s="1" t="s">
        <v>452</v>
      </c>
    </row>
    <row r="99">
      <c r="A99" s="1" t="s">
        <v>457</v>
      </c>
      <c r="B99" s="1">
        <v>1.57601553E8</v>
      </c>
      <c r="D99" s="1">
        <v>188792.0</v>
      </c>
      <c r="E99" s="1">
        <v>287818.0</v>
      </c>
      <c r="F99" s="1">
        <v>1716.29</v>
      </c>
      <c r="G99" s="1">
        <v>51.89</v>
      </c>
      <c r="H99" s="1">
        <v>234.0</v>
      </c>
      <c r="I99" s="1">
        <v>8.0</v>
      </c>
      <c r="J99" s="1">
        <v>7.0</v>
      </c>
      <c r="K99" s="1">
        <v>16.0</v>
      </c>
      <c r="L99" s="1" t="b">
        <v>1</v>
      </c>
      <c r="M99" s="1" t="b">
        <v>0</v>
      </c>
      <c r="N99" s="1" t="b">
        <v>0</v>
      </c>
      <c r="O99" s="1" t="b">
        <v>1</v>
      </c>
      <c r="P99" s="1" t="b">
        <v>1</v>
      </c>
      <c r="Q99" s="1" t="b">
        <v>0</v>
      </c>
      <c r="R99" s="1" t="b">
        <v>1</v>
      </c>
      <c r="S99" s="1" t="s">
        <v>63</v>
      </c>
      <c r="T99" s="1" t="s">
        <v>64</v>
      </c>
      <c r="U99" s="1" t="s">
        <v>65</v>
      </c>
      <c r="V99" s="1">
        <v>5.0</v>
      </c>
      <c r="W99" s="1">
        <v>20.0</v>
      </c>
      <c r="X99" s="1">
        <v>3.0</v>
      </c>
      <c r="Y99" s="5">
        <v>46193.0</v>
      </c>
      <c r="Z99" s="1" t="s">
        <v>66</v>
      </c>
      <c r="AA99" s="1" t="b">
        <v>1</v>
      </c>
      <c r="AB99" s="1">
        <v>326.0</v>
      </c>
      <c r="AC99" s="1" t="b">
        <v>1</v>
      </c>
      <c r="AD99" s="1">
        <v>110.0</v>
      </c>
      <c r="AE99" s="1">
        <v>20.0</v>
      </c>
      <c r="AF99" s="2">
        <v>46157.0</v>
      </c>
      <c r="AG99" s="1" t="s">
        <v>67</v>
      </c>
      <c r="AH99" s="1" t="s">
        <v>68</v>
      </c>
      <c r="AI99" s="1" t="s">
        <v>69</v>
      </c>
      <c r="AJ99" s="1" t="s">
        <v>70</v>
      </c>
      <c r="AK99" s="1">
        <v>32413.0</v>
      </c>
      <c r="AL99" s="1" t="s">
        <v>71</v>
      </c>
      <c r="AM99" s="1" t="s">
        <v>72</v>
      </c>
      <c r="AN99" s="3" t="s">
        <v>458</v>
      </c>
      <c r="AO99" s="3" t="s">
        <v>459</v>
      </c>
      <c r="AP99" s="1" t="s">
        <v>460</v>
      </c>
      <c r="AR99" s="1">
        <v>30.2883452068</v>
      </c>
      <c r="AS99" s="1">
        <v>-86.0420675945</v>
      </c>
      <c r="AT99" s="1">
        <v>54.21</v>
      </c>
      <c r="AU99" s="4">
        <f t="shared" ref="AU99:AU100" si="18">AVERAGE($D$2:$D$1233)</f>
        <v>239740.3426</v>
      </c>
      <c r="AV99" s="1">
        <v>-2.32</v>
      </c>
      <c r="AW99" s="4">
        <f>IFERROR(($AU1092-D1092)/$AU1092,0)</f>
        <v>0</v>
      </c>
      <c r="AX99" s="4">
        <f>$AU1092-D1092</f>
        <v>0</v>
      </c>
      <c r="AY99" s="1">
        <v>99026.0</v>
      </c>
      <c r="AZ99" s="1" t="s">
        <v>460</v>
      </c>
      <c r="BA99" s="1" t="s">
        <v>457</v>
      </c>
    </row>
    <row r="100">
      <c r="A100" s="1" t="s">
        <v>461</v>
      </c>
      <c r="B100" s="1">
        <v>5.62879513E8</v>
      </c>
      <c r="D100" s="1">
        <v>139098.0</v>
      </c>
      <c r="E100" s="1">
        <v>158400.0</v>
      </c>
      <c r="F100" s="1">
        <v>2045.56</v>
      </c>
      <c r="G100" s="1">
        <v>41.21</v>
      </c>
      <c r="H100" s="1">
        <v>305.0</v>
      </c>
      <c r="I100" s="1">
        <v>7.0</v>
      </c>
      <c r="J100" s="1">
        <v>8.0</v>
      </c>
      <c r="K100" s="1">
        <v>16.0</v>
      </c>
      <c r="L100" s="1" t="b">
        <v>1</v>
      </c>
      <c r="M100" s="1" t="b">
        <v>0</v>
      </c>
      <c r="N100" s="1" t="b">
        <v>0</v>
      </c>
      <c r="O100" s="1" t="b">
        <v>1</v>
      </c>
      <c r="P100" s="1" t="b">
        <v>1</v>
      </c>
      <c r="Q100" s="1" t="b">
        <v>0</v>
      </c>
      <c r="R100" s="1" t="b">
        <v>1</v>
      </c>
      <c r="S100" s="1" t="s">
        <v>63</v>
      </c>
      <c r="T100" s="1" t="s">
        <v>64</v>
      </c>
      <c r="U100" s="1" t="s">
        <v>65</v>
      </c>
      <c r="V100" s="1">
        <v>5.0</v>
      </c>
      <c r="W100" s="1">
        <v>6.0</v>
      </c>
      <c r="X100" s="1">
        <v>5.0</v>
      </c>
      <c r="Y100" s="5">
        <v>46058.0</v>
      </c>
      <c r="Z100" s="1" t="s">
        <v>66</v>
      </c>
      <c r="AA100" s="1" t="b">
        <v>0</v>
      </c>
      <c r="AB100" s="1">
        <v>1150.0</v>
      </c>
      <c r="AC100" s="1" t="b">
        <v>1</v>
      </c>
      <c r="AD100" s="1">
        <v>68.0</v>
      </c>
      <c r="AE100" s="1">
        <v>4.0</v>
      </c>
      <c r="AF100" s="2">
        <v>46156.0</v>
      </c>
      <c r="AG100" s="1" t="s">
        <v>67</v>
      </c>
      <c r="AH100" s="1" t="s">
        <v>68</v>
      </c>
      <c r="AI100" s="1" t="s">
        <v>134</v>
      </c>
      <c r="AJ100" s="1" t="s">
        <v>70</v>
      </c>
      <c r="AK100" s="1">
        <v>32459.0</v>
      </c>
      <c r="AL100" s="1" t="s">
        <v>71</v>
      </c>
      <c r="AM100" s="1" t="s">
        <v>72</v>
      </c>
      <c r="AN100" s="3" t="s">
        <v>462</v>
      </c>
      <c r="AO100" s="3" t="s">
        <v>463</v>
      </c>
      <c r="AP100" s="1" t="s">
        <v>464</v>
      </c>
      <c r="AR100" s="1">
        <v>30.3174</v>
      </c>
      <c r="AS100" s="1">
        <v>-86.128</v>
      </c>
      <c r="AT100" s="1">
        <v>54.21</v>
      </c>
      <c r="AU100" s="4">
        <f t="shared" si="18"/>
        <v>239740.3426</v>
      </c>
      <c r="AV100" s="1">
        <v>-13.0</v>
      </c>
      <c r="AW100" s="4">
        <f>IFERROR(($AU1120-D1120)/$AU1120,0)</f>
        <v>0</v>
      </c>
      <c r="AX100" s="4">
        <f>$AU1120-D1120</f>
        <v>0</v>
      </c>
      <c r="AY100" s="1">
        <v>19302.0</v>
      </c>
      <c r="AZ100" s="1" t="s">
        <v>464</v>
      </c>
      <c r="BA100" s="1" t="s">
        <v>461</v>
      </c>
    </row>
    <row r="101">
      <c r="A101" s="1" t="s">
        <v>465</v>
      </c>
      <c r="B101" s="1">
        <v>1.51947999E8</v>
      </c>
      <c r="D101" s="1">
        <v>449845.0</v>
      </c>
      <c r="E101" s="1">
        <v>570240.0</v>
      </c>
      <c r="F101" s="1">
        <v>7255.56</v>
      </c>
      <c r="G101" s="1">
        <v>37.58</v>
      </c>
      <c r="H101" s="1">
        <v>193.0</v>
      </c>
      <c r="I101" s="1">
        <v>18.0</v>
      </c>
      <c r="J101" s="1">
        <v>16.0</v>
      </c>
      <c r="K101" s="1">
        <v>16.0</v>
      </c>
      <c r="L101" s="1" t="b">
        <v>1</v>
      </c>
      <c r="M101" s="1" t="b">
        <v>1</v>
      </c>
      <c r="N101" s="1" t="b">
        <v>1</v>
      </c>
      <c r="O101" s="1" t="b">
        <v>1</v>
      </c>
      <c r="P101" s="1" t="b">
        <v>1</v>
      </c>
      <c r="Q101" s="1" t="b">
        <v>1</v>
      </c>
      <c r="R101" s="1" t="b">
        <v>1</v>
      </c>
      <c r="S101" s="1" t="s">
        <v>63</v>
      </c>
      <c r="T101" s="1" t="s">
        <v>64</v>
      </c>
      <c r="U101" s="1" t="s">
        <v>65</v>
      </c>
      <c r="V101" s="1">
        <v>0.0</v>
      </c>
      <c r="W101" s="1">
        <v>0.0</v>
      </c>
      <c r="X101" s="1">
        <v>3.0</v>
      </c>
      <c r="Y101" s="5">
        <v>46193.0</v>
      </c>
      <c r="Z101" s="1" t="s">
        <v>66</v>
      </c>
      <c r="AA101" s="1" t="b">
        <v>1</v>
      </c>
      <c r="AB101" s="1">
        <v>2100.0</v>
      </c>
      <c r="AC101" s="1" t="b">
        <v>1</v>
      </c>
      <c r="AD101" s="1">
        <v>62.0</v>
      </c>
      <c r="AE101" s="1">
        <v>14.0</v>
      </c>
      <c r="AF101" s="2">
        <v>46153.0</v>
      </c>
      <c r="AG101" s="1" t="s">
        <v>102</v>
      </c>
      <c r="AH101" s="1" t="s">
        <v>103</v>
      </c>
      <c r="AI101" s="1" t="s">
        <v>138</v>
      </c>
      <c r="AJ101" s="1" t="s">
        <v>104</v>
      </c>
      <c r="AK101" s="1">
        <v>77617.0</v>
      </c>
      <c r="AL101" s="1" t="s">
        <v>71</v>
      </c>
      <c r="AM101" s="1" t="s">
        <v>72</v>
      </c>
      <c r="AN101" s="3" t="s">
        <v>466</v>
      </c>
      <c r="AO101" s="3" t="s">
        <v>467</v>
      </c>
      <c r="AP101" s="1" t="s">
        <v>468</v>
      </c>
      <c r="AR101" s="1">
        <v>29.50127</v>
      </c>
      <c r="AS101" s="1">
        <v>-94.51594</v>
      </c>
      <c r="AT101" s="1">
        <v>47.56</v>
      </c>
      <c r="AU101" s="4">
        <f>AVERAGE($D$2:$D$830)</f>
        <v>239740.3426</v>
      </c>
      <c r="AV101" s="1">
        <v>-9.98</v>
      </c>
      <c r="AW101" s="4">
        <f>IFERROR(($AU2-D2)/$AU2,0)</f>
        <v>0.3088147026</v>
      </c>
      <c r="AX101" s="4">
        <f>$AU2-D2</f>
        <v>74035.34259</v>
      </c>
      <c r="AY101" s="1">
        <v>120395.0</v>
      </c>
      <c r="AZ101" s="1" t="s">
        <v>468</v>
      </c>
      <c r="BA101" s="1" t="s">
        <v>465</v>
      </c>
    </row>
    <row r="102">
      <c r="A102" s="1" t="s">
        <v>469</v>
      </c>
      <c r="B102" s="1">
        <v>2.7417942E7</v>
      </c>
      <c r="D102" s="1">
        <v>145883.0</v>
      </c>
      <c r="E102" s="1">
        <v>176335.0</v>
      </c>
      <c r="F102" s="1">
        <v>1998.4</v>
      </c>
      <c r="G102" s="1">
        <v>67.59</v>
      </c>
      <c r="H102" s="1">
        <v>178.0</v>
      </c>
      <c r="I102" s="1">
        <v>8.0</v>
      </c>
      <c r="J102" s="1">
        <v>9.0</v>
      </c>
      <c r="K102" s="1">
        <v>16.0</v>
      </c>
      <c r="L102" s="1" t="b">
        <v>1</v>
      </c>
      <c r="M102" s="1" t="b">
        <v>0</v>
      </c>
      <c r="N102" s="1" t="b">
        <v>0</v>
      </c>
      <c r="O102" s="1" t="b">
        <v>1</v>
      </c>
      <c r="P102" s="1" t="b">
        <v>1</v>
      </c>
      <c r="Q102" s="1" t="b">
        <v>1</v>
      </c>
      <c r="R102" s="1" t="b">
        <v>1</v>
      </c>
      <c r="S102" s="1" t="s">
        <v>63</v>
      </c>
      <c r="T102" s="1" t="s">
        <v>64</v>
      </c>
      <c r="U102" s="1" t="s">
        <v>65</v>
      </c>
      <c r="V102" s="1">
        <v>5.0</v>
      </c>
      <c r="W102" s="1">
        <v>1.0</v>
      </c>
      <c r="X102" s="1">
        <v>3.0</v>
      </c>
      <c r="Y102" s="5">
        <v>46058.0</v>
      </c>
      <c r="Z102" s="1" t="s">
        <v>66</v>
      </c>
      <c r="AA102" s="1" t="b">
        <v>1</v>
      </c>
      <c r="AB102" s="1">
        <v>1000.0</v>
      </c>
      <c r="AC102" s="1" t="b">
        <v>0</v>
      </c>
      <c r="AD102" s="1">
        <v>73.0</v>
      </c>
      <c r="AE102" s="1">
        <v>12.0</v>
      </c>
      <c r="AF102" s="2">
        <v>46153.0</v>
      </c>
      <c r="AG102" s="1" t="s">
        <v>203</v>
      </c>
      <c r="AH102" s="1" t="s">
        <v>204</v>
      </c>
      <c r="AI102" s="1" t="s">
        <v>203</v>
      </c>
      <c r="AJ102" s="1" t="s">
        <v>70</v>
      </c>
      <c r="AK102" s="1">
        <v>34242.0</v>
      </c>
      <c r="AL102" s="1" t="s">
        <v>71</v>
      </c>
      <c r="AM102" s="1" t="s">
        <v>72</v>
      </c>
      <c r="AN102" s="3" t="s">
        <v>470</v>
      </c>
      <c r="AO102" s="3" t="s">
        <v>471</v>
      </c>
      <c r="AP102" s="1" t="s">
        <v>472</v>
      </c>
      <c r="AR102" s="1">
        <v>27.2687</v>
      </c>
      <c r="AS102" s="1">
        <v>-82.5564</v>
      </c>
      <c r="AT102" s="1">
        <v>63.0</v>
      </c>
      <c r="AU102" s="4">
        <f t="shared" ref="AU102:AU103" si="19">AVERAGE($D$2:$D$1012)</f>
        <v>239740.3426</v>
      </c>
      <c r="AV102" s="1">
        <v>4.59</v>
      </c>
      <c r="AW102" s="4">
        <f>IFERROR(($AU156-D156)/$AU156,0)</f>
        <v>0</v>
      </c>
      <c r="AX102" s="4">
        <f>$AU156-D156</f>
        <v>0</v>
      </c>
      <c r="AY102" s="1">
        <v>30452.0</v>
      </c>
      <c r="AZ102" s="1" t="s">
        <v>472</v>
      </c>
      <c r="BA102" s="1" t="s">
        <v>469</v>
      </c>
    </row>
    <row r="103">
      <c r="A103" s="1" t="s">
        <v>473</v>
      </c>
      <c r="B103" s="1">
        <v>3.85382848E8</v>
      </c>
      <c r="D103" s="1">
        <v>110332.0</v>
      </c>
      <c r="E103" s="1">
        <v>119850.0</v>
      </c>
      <c r="F103" s="1">
        <v>2298.58</v>
      </c>
      <c r="G103" s="1">
        <v>36.64</v>
      </c>
      <c r="H103" s="1">
        <v>171.0</v>
      </c>
      <c r="I103" s="1">
        <v>6.0</v>
      </c>
      <c r="J103" s="1">
        <v>4.0</v>
      </c>
      <c r="K103" s="1">
        <v>13.0</v>
      </c>
      <c r="L103" s="1" t="b">
        <v>1</v>
      </c>
      <c r="M103" s="1" t="b">
        <v>0</v>
      </c>
      <c r="N103" s="1" t="b">
        <v>1</v>
      </c>
      <c r="O103" s="1" t="b">
        <v>1</v>
      </c>
      <c r="P103" s="1" t="b">
        <v>1</v>
      </c>
      <c r="Q103" s="1" t="b">
        <v>1</v>
      </c>
      <c r="R103" s="1" t="b">
        <v>1</v>
      </c>
      <c r="S103" s="1" t="s">
        <v>63</v>
      </c>
      <c r="T103" s="1" t="s">
        <v>64</v>
      </c>
      <c r="U103" s="1" t="s">
        <v>65</v>
      </c>
      <c r="V103" s="1">
        <v>0.0</v>
      </c>
      <c r="W103" s="1">
        <v>0.0</v>
      </c>
      <c r="X103" s="1">
        <v>3.0</v>
      </c>
      <c r="Y103" s="5">
        <v>46058.0</v>
      </c>
      <c r="Z103" s="1" t="s">
        <v>66</v>
      </c>
      <c r="AA103" s="1" t="b">
        <v>1</v>
      </c>
      <c r="AB103" s="1">
        <v>475.0</v>
      </c>
      <c r="AC103" s="1" t="b">
        <v>0</v>
      </c>
      <c r="AD103" s="1">
        <v>48.0</v>
      </c>
      <c r="AE103" s="1">
        <v>7.0</v>
      </c>
      <c r="AF103" s="2">
        <v>46155.0</v>
      </c>
      <c r="AG103" s="1" t="s">
        <v>203</v>
      </c>
      <c r="AH103" s="1" t="s">
        <v>204</v>
      </c>
      <c r="AI103" s="1" t="s">
        <v>203</v>
      </c>
      <c r="AJ103" s="1" t="s">
        <v>70</v>
      </c>
      <c r="AK103" s="1">
        <v>34242.0</v>
      </c>
      <c r="AL103" s="1" t="s">
        <v>71</v>
      </c>
      <c r="AM103" s="1" t="s">
        <v>72</v>
      </c>
      <c r="AN103" s="3" t="s">
        <v>474</v>
      </c>
      <c r="AO103" s="3" t="s">
        <v>475</v>
      </c>
      <c r="AP103" s="1" t="s">
        <v>476</v>
      </c>
      <c r="AQ103" s="1">
        <v>4934297.0</v>
      </c>
      <c r="AR103" s="1">
        <v>27.27115</v>
      </c>
      <c r="AS103" s="1">
        <v>-82.54381</v>
      </c>
      <c r="AT103" s="1">
        <v>63.15</v>
      </c>
      <c r="AU103" s="4">
        <f t="shared" si="19"/>
        <v>239740.3426</v>
      </c>
      <c r="AV103" s="1">
        <v>-26.51</v>
      </c>
      <c r="AW103" s="4">
        <f>IFERROR(($AU197-D197)/$AU197,0)</f>
        <v>0</v>
      </c>
      <c r="AX103" s="4">
        <f>$AU197-D197</f>
        <v>0</v>
      </c>
      <c r="AY103" s="1">
        <v>9518.0</v>
      </c>
      <c r="AZ103" s="1" t="s">
        <v>476</v>
      </c>
      <c r="BA103" s="1" t="s">
        <v>473</v>
      </c>
    </row>
    <row r="104">
      <c r="A104" s="1" t="s">
        <v>477</v>
      </c>
      <c r="B104" s="1">
        <v>7.19486918E8</v>
      </c>
      <c r="D104" s="1">
        <v>114615.0</v>
      </c>
      <c r="E104" s="1">
        <v>124246.0</v>
      </c>
      <c r="F104" s="1">
        <v>1710.67</v>
      </c>
      <c r="G104" s="1">
        <v>54.92</v>
      </c>
      <c r="H104" s="1">
        <v>167.0</v>
      </c>
      <c r="I104" s="1">
        <v>5.0</v>
      </c>
      <c r="J104" s="1">
        <v>4.0</v>
      </c>
      <c r="K104" s="1">
        <v>14.0</v>
      </c>
      <c r="L104" s="1" t="b">
        <v>1</v>
      </c>
      <c r="M104" s="1" t="b">
        <v>1</v>
      </c>
      <c r="N104" s="1" t="b">
        <v>0</v>
      </c>
      <c r="O104" s="1" t="b">
        <v>1</v>
      </c>
      <c r="P104" s="1" t="b">
        <v>1</v>
      </c>
      <c r="Q104" s="1" t="b">
        <v>0</v>
      </c>
      <c r="R104" s="1" t="b">
        <v>1</v>
      </c>
      <c r="S104" s="1" t="s">
        <v>63</v>
      </c>
      <c r="T104" s="1" t="s">
        <v>117</v>
      </c>
      <c r="U104" s="1" t="s">
        <v>65</v>
      </c>
      <c r="V104" s="1">
        <v>0.0</v>
      </c>
      <c r="W104" s="1">
        <v>0.0</v>
      </c>
      <c r="X104" s="1">
        <v>1.0</v>
      </c>
      <c r="Y104" s="5">
        <v>46193.0</v>
      </c>
      <c r="Z104" s="1" t="s">
        <v>66</v>
      </c>
      <c r="AA104" s="1" t="b">
        <v>0</v>
      </c>
      <c r="AB104" s="1">
        <v>0.0</v>
      </c>
      <c r="AC104" s="1" t="b">
        <v>1</v>
      </c>
      <c r="AD104" s="1">
        <v>67.0</v>
      </c>
      <c r="AE104" s="1">
        <v>16.0</v>
      </c>
      <c r="AF104" s="2">
        <v>46157.0</v>
      </c>
      <c r="AG104" s="1" t="s">
        <v>67</v>
      </c>
      <c r="AH104" s="1" t="s">
        <v>68</v>
      </c>
      <c r="AI104" s="1" t="s">
        <v>69</v>
      </c>
      <c r="AJ104" s="1" t="s">
        <v>70</v>
      </c>
      <c r="AK104" s="1">
        <v>32461.0</v>
      </c>
      <c r="AL104" s="1" t="s">
        <v>71</v>
      </c>
      <c r="AM104" s="1" t="s">
        <v>72</v>
      </c>
      <c r="AN104" s="3" t="s">
        <v>478</v>
      </c>
      <c r="AO104" s="3" t="s">
        <v>479</v>
      </c>
      <c r="AP104" s="1" t="s">
        <v>480</v>
      </c>
      <c r="AR104" s="1">
        <v>30.2882</v>
      </c>
      <c r="AS104" s="1">
        <v>-86.0346</v>
      </c>
      <c r="AT104" s="1">
        <v>61.91</v>
      </c>
      <c r="AU104" s="4">
        <f>AVERAGE($D$2:$D$1233)</f>
        <v>239740.3426</v>
      </c>
      <c r="AV104" s="1">
        <v>-6.99</v>
      </c>
      <c r="AW104" s="4">
        <f>IFERROR(($AU768-D768)/$AU768,0)</f>
        <v>0</v>
      </c>
      <c r="AX104" s="4">
        <f>$AU768-D768</f>
        <v>0</v>
      </c>
      <c r="AY104" s="1">
        <v>9631.0</v>
      </c>
      <c r="AZ104" s="1" t="s">
        <v>480</v>
      </c>
      <c r="BA104" s="1" t="s">
        <v>477</v>
      </c>
    </row>
    <row r="105">
      <c r="A105" s="1" t="s">
        <v>481</v>
      </c>
      <c r="B105" s="1">
        <v>7.08704024E8</v>
      </c>
      <c r="D105" s="1">
        <v>122386.0</v>
      </c>
      <c r="E105" s="1">
        <v>144939.0</v>
      </c>
      <c r="F105" s="1">
        <v>1610.34</v>
      </c>
      <c r="G105" s="1">
        <v>71.7</v>
      </c>
      <c r="H105" s="1">
        <v>157.0</v>
      </c>
      <c r="I105" s="1">
        <v>8.0</v>
      </c>
      <c r="J105" s="1">
        <v>8.0</v>
      </c>
      <c r="K105" s="1">
        <v>16.0</v>
      </c>
      <c r="L105" s="1" t="b">
        <v>1</v>
      </c>
      <c r="M105" s="1" t="b">
        <v>0</v>
      </c>
      <c r="N105" s="1" t="b">
        <v>1</v>
      </c>
      <c r="O105" s="1" t="b">
        <v>1</v>
      </c>
      <c r="P105" s="1" t="b">
        <v>1</v>
      </c>
      <c r="Q105" s="1" t="b">
        <v>0</v>
      </c>
      <c r="R105" s="1" t="b">
        <v>0</v>
      </c>
      <c r="S105" s="1" t="s">
        <v>63</v>
      </c>
      <c r="T105" s="1" t="s">
        <v>64</v>
      </c>
      <c r="U105" s="1" t="s">
        <v>65</v>
      </c>
      <c r="V105" s="1">
        <v>5.0</v>
      </c>
      <c r="W105" s="1">
        <v>13.0</v>
      </c>
      <c r="X105" s="1">
        <v>3.0</v>
      </c>
      <c r="Y105" s="5">
        <v>46193.0</v>
      </c>
      <c r="Z105" s="1" t="s">
        <v>66</v>
      </c>
      <c r="AA105" s="1" t="b">
        <v>0</v>
      </c>
      <c r="AB105" s="1">
        <v>70.0</v>
      </c>
      <c r="AC105" s="1" t="b">
        <v>1</v>
      </c>
      <c r="AD105" s="1">
        <v>76.0</v>
      </c>
      <c r="AE105" s="1">
        <v>15.0</v>
      </c>
      <c r="AF105" s="2">
        <v>46155.0</v>
      </c>
      <c r="AG105" s="1" t="s">
        <v>203</v>
      </c>
      <c r="AH105" s="1" t="s">
        <v>204</v>
      </c>
      <c r="AI105" s="1" t="s">
        <v>203</v>
      </c>
      <c r="AJ105" s="1" t="s">
        <v>70</v>
      </c>
      <c r="AK105" s="1">
        <v>34242.0</v>
      </c>
      <c r="AL105" s="1" t="s">
        <v>71</v>
      </c>
      <c r="AM105" s="1" t="s">
        <v>72</v>
      </c>
      <c r="AN105" s="3" t="s">
        <v>482</v>
      </c>
      <c r="AO105" s="3" t="s">
        <v>483</v>
      </c>
      <c r="AP105" s="1" t="s">
        <v>484</v>
      </c>
      <c r="AR105" s="1">
        <v>27.2686</v>
      </c>
      <c r="AS105" s="1">
        <v>-82.556</v>
      </c>
      <c r="AT105" s="1">
        <v>63.0</v>
      </c>
      <c r="AU105" s="4">
        <f>AVERAGE($D$2:$D$1012)</f>
        <v>239740.3426</v>
      </c>
      <c r="AV105" s="1">
        <v>8.7</v>
      </c>
      <c r="AW105" s="4">
        <f>IFERROR(($AU184-D184)/$AU184,0)</f>
        <v>0</v>
      </c>
      <c r="AX105" s="4">
        <f>$AU184-D184</f>
        <v>0</v>
      </c>
      <c r="AY105" s="1">
        <v>22553.0</v>
      </c>
      <c r="AZ105" s="1" t="s">
        <v>484</v>
      </c>
      <c r="BA105" s="1" t="s">
        <v>481</v>
      </c>
    </row>
    <row r="106">
      <c r="A106" s="1" t="s">
        <v>485</v>
      </c>
      <c r="B106" s="1">
        <v>7.20483787E8</v>
      </c>
      <c r="D106" s="1">
        <v>182317.0</v>
      </c>
      <c r="E106" s="1">
        <v>186578.0</v>
      </c>
      <c r="F106" s="1">
        <v>1585.37</v>
      </c>
      <c r="G106" s="1">
        <v>90.55</v>
      </c>
      <c r="H106" s="1">
        <v>148.0</v>
      </c>
      <c r="I106" s="1">
        <v>5.0</v>
      </c>
      <c r="J106" s="1">
        <v>4.0</v>
      </c>
      <c r="K106" s="1">
        <v>12.0</v>
      </c>
      <c r="L106" s="1" t="b">
        <v>0</v>
      </c>
      <c r="M106" s="1" t="b">
        <v>0</v>
      </c>
      <c r="N106" s="1" t="b">
        <v>0</v>
      </c>
      <c r="O106" s="1" t="b">
        <v>0</v>
      </c>
      <c r="P106" s="1" t="b">
        <v>1</v>
      </c>
      <c r="Q106" s="1" t="b">
        <v>0</v>
      </c>
      <c r="R106" s="1" t="b">
        <v>0</v>
      </c>
      <c r="S106" s="1" t="s">
        <v>63</v>
      </c>
      <c r="T106" s="1" t="s">
        <v>64</v>
      </c>
      <c r="U106" s="1" t="s">
        <v>65</v>
      </c>
      <c r="V106" s="1">
        <v>0.0</v>
      </c>
      <c r="W106" s="1">
        <v>0.0</v>
      </c>
      <c r="X106" s="1">
        <v>5.0</v>
      </c>
      <c r="Y106" s="5">
        <v>46193.0</v>
      </c>
      <c r="Z106" s="1" t="s">
        <v>66</v>
      </c>
      <c r="AA106" s="1" t="b">
        <v>0</v>
      </c>
      <c r="AB106" s="1">
        <v>0.0</v>
      </c>
      <c r="AC106" s="1" t="b">
        <v>0</v>
      </c>
      <c r="AD106" s="1">
        <v>115.0</v>
      </c>
      <c r="AE106" s="1">
        <v>10.0</v>
      </c>
      <c r="AF106" s="2">
        <v>46157.0</v>
      </c>
      <c r="AG106" s="1" t="s">
        <v>81</v>
      </c>
      <c r="AH106" s="1" t="s">
        <v>82</v>
      </c>
      <c r="AI106" s="1" t="s">
        <v>82</v>
      </c>
      <c r="AJ106" s="1" t="s">
        <v>70</v>
      </c>
      <c r="AK106" s="1">
        <v>33924.0</v>
      </c>
      <c r="AL106" s="1" t="s">
        <v>71</v>
      </c>
      <c r="AM106" s="1" t="s">
        <v>72</v>
      </c>
      <c r="AN106" s="3" t="s">
        <v>486</v>
      </c>
      <c r="AO106" s="3" t="s">
        <v>487</v>
      </c>
      <c r="AP106" s="1" t="s">
        <v>488</v>
      </c>
      <c r="AQ106" s="1">
        <v>5063170.0</v>
      </c>
      <c r="AR106" s="1">
        <v>26.52693</v>
      </c>
      <c r="AS106" s="1">
        <v>-82.19074</v>
      </c>
      <c r="AT106" s="1">
        <v>55.98</v>
      </c>
      <c r="AU106" s="4">
        <f t="shared" ref="AU106:AU107" si="20">AVERAGE($D$2:$D$501)</f>
        <v>239740.3426</v>
      </c>
      <c r="AV106" s="1">
        <v>34.57</v>
      </c>
      <c r="AW106" s="4">
        <f>IFERROR(($AU25-D25)/$AU25,0)</f>
        <v>0.3301753127</v>
      </c>
      <c r="AX106" s="4">
        <f>$AU25-D25</f>
        <v>79156.34259</v>
      </c>
      <c r="AY106" s="1">
        <v>4261.0</v>
      </c>
      <c r="AZ106" s="1" t="s">
        <v>488</v>
      </c>
      <c r="BA106" s="1" t="s">
        <v>485</v>
      </c>
    </row>
    <row r="107">
      <c r="A107" s="1" t="s">
        <v>489</v>
      </c>
      <c r="B107" s="1">
        <v>7.42826261E8</v>
      </c>
      <c r="D107" s="1">
        <v>171539.0</v>
      </c>
      <c r="E107" s="1">
        <v>230340.0</v>
      </c>
      <c r="F107" s="1">
        <v>1216.59</v>
      </c>
      <c r="G107" s="1">
        <v>61.3</v>
      </c>
      <c r="H107" s="1">
        <v>286.0</v>
      </c>
      <c r="I107" s="1">
        <v>5.0</v>
      </c>
      <c r="J107" s="1">
        <v>4.0</v>
      </c>
      <c r="K107" s="1">
        <v>15.0</v>
      </c>
      <c r="L107" s="1" t="b">
        <v>1</v>
      </c>
      <c r="M107" s="1" t="b">
        <v>0</v>
      </c>
      <c r="N107" s="1" t="b">
        <v>0</v>
      </c>
      <c r="O107" s="1" t="b">
        <v>1</v>
      </c>
      <c r="P107" s="1" t="b">
        <v>0</v>
      </c>
      <c r="Q107" s="1" t="b">
        <v>0</v>
      </c>
      <c r="R107" s="1" t="b">
        <v>1</v>
      </c>
      <c r="S107" s="1" t="s">
        <v>63</v>
      </c>
      <c r="T107" s="1" t="s">
        <v>64</v>
      </c>
      <c r="U107" s="1" t="s">
        <v>65</v>
      </c>
      <c r="V107" s="1">
        <v>4.9</v>
      </c>
      <c r="W107" s="1">
        <v>81.0</v>
      </c>
      <c r="X107" s="1">
        <v>7.0</v>
      </c>
      <c r="Y107" s="1">
        <v>1.0</v>
      </c>
      <c r="Z107" s="1" t="s">
        <v>66</v>
      </c>
      <c r="AA107" s="1" t="b">
        <v>0</v>
      </c>
      <c r="AB107" s="1">
        <v>600.0</v>
      </c>
      <c r="AC107" s="1" t="b">
        <v>0</v>
      </c>
      <c r="AD107" s="1">
        <v>141.0</v>
      </c>
      <c r="AE107" s="1">
        <v>25.0</v>
      </c>
      <c r="AF107" s="2">
        <v>46158.0</v>
      </c>
      <c r="AG107" s="1" t="s">
        <v>81</v>
      </c>
      <c r="AH107" s="1" t="s">
        <v>82</v>
      </c>
      <c r="AI107" s="1" t="s">
        <v>490</v>
      </c>
      <c r="AJ107" s="1" t="s">
        <v>70</v>
      </c>
      <c r="AK107" s="1">
        <v>33945.0</v>
      </c>
      <c r="AL107" s="1" t="s">
        <v>71</v>
      </c>
      <c r="AM107" s="1" t="s">
        <v>72</v>
      </c>
      <c r="AN107" s="3" t="s">
        <v>491</v>
      </c>
      <c r="AO107" s="3" t="s">
        <v>492</v>
      </c>
      <c r="AP107" s="1" t="s">
        <v>493</v>
      </c>
      <c r="AQ107" s="1">
        <v>2206546.0</v>
      </c>
      <c r="AR107" s="1">
        <v>26.5985</v>
      </c>
      <c r="AS107" s="1">
        <v>-82.2233</v>
      </c>
      <c r="AT107" s="1">
        <v>55.98</v>
      </c>
      <c r="AU107" s="4">
        <f t="shared" si="20"/>
        <v>239740.3426</v>
      </c>
      <c r="AV107" s="1">
        <v>5.32</v>
      </c>
      <c r="AW107" s="4">
        <f>IFERROR(($AU28-D28)/$AU28,0)</f>
        <v>-0.4327164467</v>
      </c>
      <c r="AX107" s="4">
        <f>$AU28-D28</f>
        <v>-110933.5476</v>
      </c>
      <c r="AY107" s="1">
        <v>58801.0</v>
      </c>
      <c r="AZ107" s="1" t="s">
        <v>493</v>
      </c>
      <c r="BA107" s="1" t="s">
        <v>489</v>
      </c>
    </row>
    <row r="108">
      <c r="A108" s="1" t="s">
        <v>494</v>
      </c>
      <c r="B108" s="1" t="s">
        <v>495</v>
      </c>
      <c r="D108" s="1">
        <v>256018.0</v>
      </c>
      <c r="E108" s="1">
        <v>697968.0</v>
      </c>
      <c r="F108" s="1">
        <v>3657.4</v>
      </c>
      <c r="G108" s="1">
        <v>90.91</v>
      </c>
      <c r="H108" s="1">
        <v>117.0</v>
      </c>
      <c r="I108" s="1">
        <v>8.0</v>
      </c>
      <c r="J108" s="1">
        <v>6.0</v>
      </c>
      <c r="K108" s="1">
        <v>24.0</v>
      </c>
      <c r="L108" s="1" t="b">
        <v>1</v>
      </c>
      <c r="M108" s="1" t="b">
        <v>0</v>
      </c>
      <c r="N108" s="1" t="b">
        <v>0</v>
      </c>
      <c r="O108" s="1" t="b">
        <v>1</v>
      </c>
      <c r="P108" s="1" t="b">
        <v>1</v>
      </c>
      <c r="Q108" s="1" t="b">
        <v>1</v>
      </c>
      <c r="R108" s="1" t="b">
        <v>1</v>
      </c>
      <c r="S108" s="1" t="s">
        <v>63</v>
      </c>
      <c r="T108" s="1" t="s">
        <v>427</v>
      </c>
      <c r="U108" s="1" t="s">
        <v>330</v>
      </c>
      <c r="V108" s="1">
        <v>0.0</v>
      </c>
      <c r="W108" s="1">
        <v>0.0</v>
      </c>
      <c r="X108" s="1">
        <v>3.0</v>
      </c>
      <c r="Y108" s="5">
        <v>46058.0</v>
      </c>
      <c r="Z108" s="1" t="s">
        <v>66</v>
      </c>
      <c r="AA108" s="1" t="b">
        <v>0</v>
      </c>
      <c r="AB108" s="1">
        <v>1000.0</v>
      </c>
      <c r="AC108" s="1" t="b">
        <v>1</v>
      </c>
      <c r="AD108" s="1">
        <v>70.0</v>
      </c>
      <c r="AE108" s="1">
        <v>22.0</v>
      </c>
      <c r="AF108" s="2">
        <v>46155.0</v>
      </c>
      <c r="AG108" s="1" t="s">
        <v>203</v>
      </c>
      <c r="AH108" s="1" t="s">
        <v>204</v>
      </c>
      <c r="AI108" s="1" t="s">
        <v>203</v>
      </c>
      <c r="AJ108" s="1" t="s">
        <v>70</v>
      </c>
      <c r="AK108" s="1">
        <v>34242.0</v>
      </c>
      <c r="AL108" s="1" t="s">
        <v>71</v>
      </c>
      <c r="AM108" s="1" t="s">
        <v>72</v>
      </c>
      <c r="AN108" s="3" t="s">
        <v>496</v>
      </c>
      <c r="AO108" s="3" t="s">
        <v>497</v>
      </c>
      <c r="AQ108" s="1" t="s">
        <v>498</v>
      </c>
      <c r="AR108" s="1">
        <v>27.278057</v>
      </c>
      <c r="AS108" s="1">
        <v>-82.563571</v>
      </c>
      <c r="AT108" s="1">
        <v>63.0</v>
      </c>
      <c r="AU108" s="4">
        <f>AVERAGE($D$2:$D$1012)</f>
        <v>239740.3426</v>
      </c>
      <c r="AV108" s="1">
        <v>27.91</v>
      </c>
      <c r="AW108" s="4">
        <f>IFERROR(($AU83-D83)/$AU83,0)</f>
        <v>0.03442617335</v>
      </c>
      <c r="AX108" s="4">
        <f>$AU83-D83</f>
        <v>8253.342593</v>
      </c>
      <c r="AY108" s="1">
        <v>441950.0</v>
      </c>
      <c r="AZ108" s="1" t="s">
        <v>498</v>
      </c>
      <c r="BA108" s="1" t="s">
        <v>494</v>
      </c>
    </row>
    <row r="109">
      <c r="A109" s="1" t="s">
        <v>499</v>
      </c>
      <c r="D109" s="1">
        <v>131295.0</v>
      </c>
      <c r="E109" s="1">
        <v>157725.0</v>
      </c>
      <c r="F109" s="1">
        <v>3548.51</v>
      </c>
      <c r="G109" s="1">
        <v>32.17</v>
      </c>
      <c r="H109" s="1">
        <v>176.0</v>
      </c>
      <c r="I109" s="1">
        <v>8.0</v>
      </c>
      <c r="J109" s="1">
        <v>7.0</v>
      </c>
      <c r="K109" s="1">
        <v>16.0</v>
      </c>
      <c r="L109" s="1" t="b">
        <v>1</v>
      </c>
      <c r="M109" s="1" t="b">
        <v>0</v>
      </c>
      <c r="N109" s="1" t="b">
        <v>0</v>
      </c>
      <c r="O109" s="1" t="b">
        <v>1</v>
      </c>
      <c r="P109" s="1" t="b">
        <v>1</v>
      </c>
      <c r="Q109" s="1" t="b">
        <v>0</v>
      </c>
      <c r="R109" s="1" t="b">
        <v>1</v>
      </c>
      <c r="S109" s="1" t="s">
        <v>63</v>
      </c>
      <c r="T109" s="1" t="s">
        <v>64</v>
      </c>
      <c r="U109" s="1" t="s">
        <v>65</v>
      </c>
      <c r="V109" s="1">
        <v>5.0</v>
      </c>
      <c r="W109" s="1">
        <v>5.0</v>
      </c>
      <c r="X109" s="1">
        <v>7.0</v>
      </c>
      <c r="Y109" s="1">
        <v>1.0</v>
      </c>
      <c r="Z109" s="1" t="s">
        <v>66</v>
      </c>
      <c r="AA109" s="1" t="b">
        <v>0</v>
      </c>
      <c r="AB109" s="1">
        <v>591.0</v>
      </c>
      <c r="AC109" s="1" t="b">
        <v>0</v>
      </c>
      <c r="AD109" s="1">
        <v>37.0</v>
      </c>
      <c r="AE109" s="1">
        <v>3.0</v>
      </c>
      <c r="AF109" s="2">
        <v>46157.0</v>
      </c>
      <c r="AG109" s="1" t="s">
        <v>92</v>
      </c>
      <c r="AH109" s="1" t="s">
        <v>93</v>
      </c>
      <c r="AI109" s="1" t="s">
        <v>94</v>
      </c>
      <c r="AJ109" s="1" t="s">
        <v>95</v>
      </c>
      <c r="AK109" s="1">
        <v>31561.0</v>
      </c>
      <c r="AL109" s="1" t="s">
        <v>71</v>
      </c>
      <c r="AM109" s="1" t="s">
        <v>72</v>
      </c>
      <c r="AN109" s="3" t="s">
        <v>500</v>
      </c>
      <c r="AO109" s="3" t="s">
        <v>501</v>
      </c>
      <c r="AQ109" s="1" t="s">
        <v>502</v>
      </c>
      <c r="AR109" s="1">
        <v>31.20238</v>
      </c>
      <c r="AS109" s="1">
        <v>-81.331894</v>
      </c>
      <c r="AT109" s="1">
        <v>53.56</v>
      </c>
      <c r="AU109" s="4">
        <f>AVERAGE($D$2:$D$1001)</f>
        <v>239740.3426</v>
      </c>
      <c r="AV109" s="1">
        <v>-21.39</v>
      </c>
      <c r="AW109" s="4">
        <f>IFERROR(($AU561-D561)/$AU561,0)</f>
        <v>0</v>
      </c>
      <c r="AX109" s="4">
        <f>$AU561-D561</f>
        <v>0</v>
      </c>
      <c r="AY109" s="1">
        <v>26430.0</v>
      </c>
      <c r="AZ109" s="1" t="s">
        <v>502</v>
      </c>
      <c r="BA109" s="1" t="s">
        <v>499</v>
      </c>
    </row>
  </sheetData>
  <hyperlinks>
    <hyperlink r:id="rId1" ref="AN2"/>
    <hyperlink r:id="rId2" ref="AO2"/>
    <hyperlink r:id="rId3" ref="AN3"/>
    <hyperlink r:id="rId4" ref="AO3"/>
    <hyperlink r:id="rId5" ref="AN4"/>
    <hyperlink r:id="rId6" ref="AO4"/>
    <hyperlink r:id="rId7" ref="AN5"/>
    <hyperlink r:id="rId8" ref="AO5"/>
    <hyperlink r:id="rId9" ref="AN6"/>
    <hyperlink r:id="rId10" ref="AO6"/>
    <hyperlink r:id="rId11" ref="AN7"/>
    <hyperlink r:id="rId12" ref="AO7"/>
    <hyperlink r:id="rId13" ref="AN8"/>
    <hyperlink r:id="rId14" ref="AO8"/>
    <hyperlink r:id="rId15" ref="AN9"/>
    <hyperlink r:id="rId16" ref="AO9"/>
    <hyperlink r:id="rId17" ref="AN10"/>
    <hyperlink r:id="rId18" ref="AO10"/>
    <hyperlink r:id="rId19" ref="AN11"/>
    <hyperlink r:id="rId20" ref="AO11"/>
    <hyperlink r:id="rId21" ref="AN12"/>
    <hyperlink r:id="rId22" ref="AO12"/>
    <hyperlink r:id="rId23" ref="AN13"/>
    <hyperlink r:id="rId24" ref="AO13"/>
    <hyperlink r:id="rId25" ref="AN14"/>
    <hyperlink r:id="rId26" ref="AO14"/>
    <hyperlink r:id="rId27" ref="AN15"/>
    <hyperlink r:id="rId28" ref="AO15"/>
    <hyperlink r:id="rId29" ref="AN16"/>
    <hyperlink r:id="rId30" ref="AO16"/>
    <hyperlink r:id="rId31" ref="AN17"/>
    <hyperlink r:id="rId32" ref="AO17"/>
    <hyperlink r:id="rId33" ref="AN18"/>
    <hyperlink r:id="rId34" ref="AO18"/>
    <hyperlink r:id="rId35" ref="AN19"/>
    <hyperlink r:id="rId36" ref="AO19"/>
    <hyperlink r:id="rId37" ref="AN20"/>
    <hyperlink r:id="rId38" ref="AO20"/>
    <hyperlink r:id="rId39" ref="AN21"/>
    <hyperlink r:id="rId40" ref="AO21"/>
    <hyperlink r:id="rId41" ref="AN22"/>
    <hyperlink r:id="rId42" ref="AO22"/>
    <hyperlink r:id="rId43" ref="AN23"/>
    <hyperlink r:id="rId44" ref="AO23"/>
    <hyperlink r:id="rId45" ref="AN24"/>
    <hyperlink r:id="rId46" ref="AO24"/>
    <hyperlink r:id="rId47" ref="AN25"/>
    <hyperlink r:id="rId48" ref="AO25"/>
    <hyperlink r:id="rId49" ref="AN26"/>
    <hyperlink r:id="rId50" ref="AO26"/>
    <hyperlink r:id="rId51" ref="AN27"/>
    <hyperlink r:id="rId52" ref="AO27"/>
    <hyperlink r:id="rId53" ref="AN28"/>
    <hyperlink r:id="rId54" ref="AO28"/>
    <hyperlink r:id="rId55" ref="AN29"/>
    <hyperlink r:id="rId56" ref="AO29"/>
    <hyperlink r:id="rId57" ref="AN30"/>
    <hyperlink r:id="rId58" ref="AO30"/>
    <hyperlink r:id="rId59" ref="AN31"/>
    <hyperlink r:id="rId60" ref="AO31"/>
    <hyperlink r:id="rId61" ref="AN32"/>
    <hyperlink r:id="rId62" ref="AO32"/>
    <hyperlink r:id="rId63" ref="AN33"/>
    <hyperlink r:id="rId64" ref="AO33"/>
    <hyperlink r:id="rId65" ref="AN34"/>
    <hyperlink r:id="rId66" ref="AO34"/>
    <hyperlink r:id="rId67" ref="AN35"/>
    <hyperlink r:id="rId68" ref="AO35"/>
    <hyperlink r:id="rId69" ref="AN36"/>
    <hyperlink r:id="rId70" ref="AO36"/>
    <hyperlink r:id="rId71" ref="AN37"/>
    <hyperlink r:id="rId72" ref="AO37"/>
    <hyperlink r:id="rId73" ref="AN38"/>
    <hyperlink r:id="rId74" ref="AO38"/>
    <hyperlink r:id="rId75" ref="AN39"/>
    <hyperlink r:id="rId76" ref="AO39"/>
    <hyperlink r:id="rId77" ref="AN40"/>
    <hyperlink r:id="rId78" ref="AO40"/>
    <hyperlink r:id="rId79" ref="AN41"/>
    <hyperlink r:id="rId80" ref="AO41"/>
    <hyperlink r:id="rId81" ref="AN42"/>
    <hyperlink r:id="rId82" ref="AO42"/>
    <hyperlink r:id="rId83" ref="AN43"/>
    <hyperlink r:id="rId84" ref="AO43"/>
    <hyperlink r:id="rId85" ref="AN44"/>
    <hyperlink r:id="rId86" ref="AO44"/>
    <hyperlink r:id="rId87" ref="AN45"/>
    <hyperlink r:id="rId88" ref="AO45"/>
    <hyperlink r:id="rId89" ref="AN46"/>
    <hyperlink r:id="rId90" ref="AO46"/>
    <hyperlink r:id="rId91" ref="AN47"/>
    <hyperlink r:id="rId92" ref="AO47"/>
    <hyperlink r:id="rId93" ref="AN48"/>
    <hyperlink r:id="rId94" ref="AO48"/>
    <hyperlink r:id="rId95" ref="AN49"/>
    <hyperlink r:id="rId96" ref="AO49"/>
    <hyperlink r:id="rId97" ref="AN50"/>
    <hyperlink r:id="rId98" ref="AO50"/>
    <hyperlink r:id="rId99" ref="AN51"/>
    <hyperlink r:id="rId100" ref="AO51"/>
    <hyperlink r:id="rId101" ref="AN52"/>
    <hyperlink r:id="rId102" ref="AO52"/>
    <hyperlink r:id="rId103" ref="AN53"/>
    <hyperlink r:id="rId104" ref="AO53"/>
    <hyperlink r:id="rId105" ref="AN54"/>
    <hyperlink r:id="rId106" ref="AO54"/>
    <hyperlink r:id="rId107" ref="AN55"/>
    <hyperlink r:id="rId108" ref="AO55"/>
    <hyperlink r:id="rId109" ref="AN56"/>
    <hyperlink r:id="rId110" ref="AO56"/>
    <hyperlink r:id="rId111" ref="AN57"/>
    <hyperlink r:id="rId112" ref="AO57"/>
    <hyperlink r:id="rId113" ref="AN58"/>
    <hyperlink r:id="rId114" ref="AO58"/>
    <hyperlink r:id="rId115" ref="AN59"/>
    <hyperlink r:id="rId116" ref="AO59"/>
    <hyperlink r:id="rId117" ref="AN60"/>
    <hyperlink r:id="rId118" ref="AO60"/>
    <hyperlink r:id="rId119" ref="AN61"/>
    <hyperlink r:id="rId120" ref="AO61"/>
    <hyperlink r:id="rId121" ref="AN62"/>
    <hyperlink r:id="rId122" ref="AO62"/>
    <hyperlink r:id="rId123" ref="AN63"/>
    <hyperlink r:id="rId124" ref="AO63"/>
    <hyperlink r:id="rId125" ref="AN64"/>
    <hyperlink r:id="rId126" ref="AO64"/>
    <hyperlink r:id="rId127" ref="AN65"/>
    <hyperlink r:id="rId128" ref="AO65"/>
    <hyperlink r:id="rId129" ref="AN66"/>
    <hyperlink r:id="rId130" ref="AO66"/>
    <hyperlink r:id="rId131" ref="AN67"/>
    <hyperlink r:id="rId132" ref="AO67"/>
    <hyperlink r:id="rId133" ref="AN68"/>
    <hyperlink r:id="rId134" ref="AO68"/>
    <hyperlink r:id="rId135" ref="AN69"/>
    <hyperlink r:id="rId136" ref="AO69"/>
    <hyperlink r:id="rId137" ref="AN70"/>
    <hyperlink r:id="rId138" ref="AO70"/>
    <hyperlink r:id="rId139" ref="AN71"/>
    <hyperlink r:id="rId140" ref="AO71"/>
    <hyperlink r:id="rId141" ref="AN72"/>
    <hyperlink r:id="rId142" ref="AO72"/>
    <hyperlink r:id="rId143" ref="AN73"/>
    <hyperlink r:id="rId144" ref="AO73"/>
    <hyperlink r:id="rId145" ref="AN74"/>
    <hyperlink r:id="rId146" ref="AO74"/>
    <hyperlink r:id="rId147" ref="AN75"/>
    <hyperlink r:id="rId148" ref="AO75"/>
    <hyperlink r:id="rId149" ref="AN76"/>
    <hyperlink r:id="rId150" ref="AO76"/>
    <hyperlink r:id="rId151" ref="AN77"/>
    <hyperlink r:id="rId152" ref="AO77"/>
    <hyperlink r:id="rId153" ref="AN78"/>
    <hyperlink r:id="rId154" ref="AO78"/>
    <hyperlink r:id="rId155" ref="AN79"/>
    <hyperlink r:id="rId156" ref="AO79"/>
    <hyperlink r:id="rId157" ref="AN80"/>
    <hyperlink r:id="rId158" ref="AO80"/>
    <hyperlink r:id="rId159" ref="AN81"/>
    <hyperlink r:id="rId160" ref="AO81"/>
    <hyperlink r:id="rId161" ref="AN82"/>
    <hyperlink r:id="rId162" ref="AO82"/>
    <hyperlink r:id="rId163" ref="AN83"/>
    <hyperlink r:id="rId164" ref="AO83"/>
    <hyperlink r:id="rId165" ref="AN84"/>
    <hyperlink r:id="rId166" ref="AO84"/>
    <hyperlink r:id="rId167" ref="AN85"/>
    <hyperlink r:id="rId168" ref="AO85"/>
    <hyperlink r:id="rId169" ref="AN86"/>
    <hyperlink r:id="rId170" ref="AO86"/>
    <hyperlink r:id="rId171" ref="AN87"/>
    <hyperlink r:id="rId172" ref="AO87"/>
    <hyperlink r:id="rId173" ref="AN88"/>
    <hyperlink r:id="rId174" ref="AO88"/>
    <hyperlink r:id="rId175" ref="AN89"/>
    <hyperlink r:id="rId176" ref="AO89"/>
    <hyperlink r:id="rId177" ref="AN90"/>
    <hyperlink r:id="rId178" ref="AO90"/>
    <hyperlink r:id="rId179" ref="AN91"/>
    <hyperlink r:id="rId180" ref="AO91"/>
    <hyperlink r:id="rId181" ref="AN92"/>
    <hyperlink r:id="rId182" ref="AO92"/>
    <hyperlink r:id="rId183" ref="AN93"/>
    <hyperlink r:id="rId184" ref="AO93"/>
    <hyperlink r:id="rId185" ref="AN94"/>
    <hyperlink r:id="rId186" ref="AO94"/>
    <hyperlink r:id="rId187" ref="AN95"/>
    <hyperlink r:id="rId188" ref="AO95"/>
    <hyperlink r:id="rId189" ref="AN96"/>
    <hyperlink r:id="rId190" ref="AO96"/>
    <hyperlink r:id="rId191" ref="AN97"/>
    <hyperlink r:id="rId192" ref="AO97"/>
    <hyperlink r:id="rId193" ref="AN98"/>
    <hyperlink r:id="rId194" ref="AO98"/>
    <hyperlink r:id="rId195" ref="AN99"/>
    <hyperlink r:id="rId196" ref="AO99"/>
    <hyperlink r:id="rId197" ref="AN100"/>
    <hyperlink r:id="rId198" ref="AO100"/>
    <hyperlink r:id="rId199" ref="AN101"/>
    <hyperlink r:id="rId200" ref="AO101"/>
    <hyperlink r:id="rId201" ref="AN102"/>
    <hyperlink r:id="rId202" ref="AO102"/>
    <hyperlink r:id="rId203" ref="AN103"/>
    <hyperlink r:id="rId204" ref="AO103"/>
    <hyperlink r:id="rId205" ref="AN104"/>
    <hyperlink r:id="rId206" ref="AO104"/>
    <hyperlink r:id="rId207" ref="AN105"/>
    <hyperlink r:id="rId208" ref="AO105"/>
    <hyperlink r:id="rId209" ref="AN106"/>
    <hyperlink r:id="rId210" ref="AO106"/>
    <hyperlink r:id="rId211" ref="AN107"/>
    <hyperlink r:id="rId212" ref="AO107"/>
    <hyperlink r:id="rId213" ref="AN108"/>
    <hyperlink r:id="rId214" ref="AO108"/>
    <hyperlink r:id="rId215" ref="AN109"/>
    <hyperlink r:id="rId216" ref="AO109"/>
  </hyperlinks>
  <drawing r:id="rId217"/>
</worksheet>
</file>